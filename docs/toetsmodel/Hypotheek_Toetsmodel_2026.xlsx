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esmij" sheetId="1" state="visible" r:id="rId3"/>
    <sheet name="Samenvatting" sheetId="2" state="visible" r:id="rId4"/>
    <sheet name="Invoer" sheetId="3" state="visible" r:id="rId5"/>
    <sheet name="Berekening" sheetId="4" state="visible" r:id="rId6"/>
    <sheet name="Solver" sheetId="5" state="visible" r:id="rId7"/>
    <sheet name="Tabellen" sheetId="6" state="visible" r:id="rId8"/>
    <sheet name="Controle" sheetId="7" state="visible" r:id="rId9"/>
    <sheet name="Bronnen" sheetId="8" state="visible" r:id="rId10"/>
  </sheets>
  <definedNames>
    <definedName function="false" hidden="false" name="AFM_Toetsrente" vbProcedure="false">Tabellen!$B$5</definedName>
    <definedName function="false" hidden="false" name="Alleenstaand_bedrag" vbProcedure="false">Tabellen!$B$8</definedName>
    <definedName function="false" hidden="false" name="Alleenstaand_min" vbProcedure="false">Tabellen!$B$9</definedName>
    <definedName function="false" hidden="false" name="Alleenstaand_min_AOW" vbProcedure="false">Tabellen!$B$10</definedName>
    <definedName function="false" hidden="false" name="AOW_drempel" vbProcedure="false">Tabellen!$B$11</definedName>
    <definedName function="false" hidden="false" name="Bankgarantie_pct" vbProcedure="false">Tabellen!$B$12</definedName>
    <definedName function="false" hidden="false" name="Energie_bonus" vbProcedure="false">Tabellen!$B$17:$B$27</definedName>
    <definedName function="false" hidden="false" name="Energie_label" vbProcedure="false">Tabellen!$A$17:$A$27</definedName>
    <definedName function="false" hidden="false" name="Looptijd_mnd" vbProcedure="false">Tabellen!$B$6</definedName>
    <definedName function="false" hidden="false" name="Makelaar_pct" vbProcedure="false">Tabellen!$B$13</definedName>
    <definedName function="false" hidden="false" name="Studie_factor" vbProcedure="false">Tabellen!$B$32:$B$43</definedName>
    <definedName function="false" hidden="false" name="Studie_upTo" vbProcedure="false">Tabellen!$A$32:$A$43</definedName>
    <definedName function="false" hidden="false" name="T1_Inkomen" vbProcedure="false">Tabellen!$A$49:$A$60</definedName>
    <definedName function="false" hidden="false" name="T1_Rente" vbProcedure="false">Tabellen!$B$47:$K$47</definedName>
    <definedName function="false" hidden="false" name="T1_Tabel" vbProcedure="false">Tabellen!$B$49:$K$60</definedName>
    <definedName function="false" hidden="false" name="T2_Inkomen" vbProcedure="false">Tabellen!$A$66:$A$77</definedName>
    <definedName function="false" hidden="false" name="T2_Rente" vbProcedure="false">Tabellen!$B$64:$K$64</definedName>
    <definedName function="false" hidden="false" name="T2_Tabel" vbProcedure="false">Tabellen!$B$66:$K$77</definedName>
    <definedName function="false" hidden="false" name="Tolerantie" vbProcedure="false">Tabellen!$B$14</definedName>
    <definedName function="false" hidden="false" name="Weging_overig" vbProcedure="false">Tabellen!$B$7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<sst xmlns="http://schemas.openxmlformats.org/spreadsheetml/2006/main" count="1026" uniqueCount="477">
  <si>
    <t xml:space="preserve">Hypotheek-toetsmodel 2026</t>
  </si>
  <si>
    <t xml:space="preserve">Onafhankelijk Excel-model van de leencapaciteitstoets (Nibud-woonquote, toetsrente, studieschuld, meenemen van bestaande leningdelen) om de hypotheekcalculator mee te controleren.</t>
  </si>
  <si>
    <t xml:space="preserve">Doel</t>
  </si>
  <si>
    <t xml:space="preserve">Dit werkboek rekent dezelfde toets als de app, maar volledig met cel-formules. U voert een dossier in (Invoer, kolom C of M), leest de uitkomst in Samenvatting en vergelijkt desgewenst met de app (Controle).</t>
  </si>
  <si>
    <t xml:space="preserve">Werkbladen</t>
  </si>
  <si>
    <t xml:space="preserve">Samenvatting: opbouw van de leencapaciteit en de uitkomst voor het gekozen scenario (cel C4).</t>
  </si>
  <si>
    <t xml:space="preserve">Invoer: alle invoer per scenario. Gele cellen met blauwe tekst zijn invoer. Kolom C = uw dossier, D t/m L = testscenario's, M = vrij testscenario.</t>
  </si>
  <si>
    <t xml:space="preserve">Berekening: stap voor stap, alles formules. Groene vakken zijn sleutelresultaten.</t>
  </si>
  <si>
    <t xml:space="preserve">Solver: bepaalt het hoogste bedrag nieuw geld bij meenemen, waarbij de woonquote meebeweegt met de gewogen toetsrente.</t>
  </si>
  <si>
    <t xml:space="preserve">Tabellen: parameters en de woonquote-tabellen. Oranje kolommen zijn GESCHAT (zie hieronder) en kunnen worden overschreven.</t>
  </si>
  <si>
    <t xml:space="preserve">Controle: Excel-uitkomst naast de uitkomst van de app-engine voor de testscenario's, met verschil en status.</t>
  </si>
  <si>
    <t xml:space="preserve">Bronnen: wat is geverifieerd, wat niet, en hoe zeker.</t>
  </si>
  <si>
    <t xml:space="preserve">Kleurcode</t>
  </si>
  <si>
    <t xml:space="preserve">Blauwe tekst op geel: invoer of vaste waarde die u mag wijzigen.   Zwarte tekst: formule.   Groene tekst: koppeling naar een ander blad.   Oranje vlak: geschatte tabelwaarde.</t>
  </si>
  <si>
    <t xml:space="preserve">Hoe rekent het model?</t>
  </si>
  <si>
    <t xml:space="preserve">1. Woonquote × toetsinkomen ÷ 12 = maximale woonlast per maand. Woonquote uit de kolom van de toetsrente (per 0,5%) en de rij van het inkomen (per € 1.000, hier geïnterpoleerd tussen ankerpunten).</t>
  </si>
  <si>
    <t xml:space="preserve">2. Schulden (tweede woning, overige schulden, familielening) gaan als maandlast van de woonlast af; de resterende woonlast wordt gekapitaliseerd met de annuïteitenfactor (360 maanden, toetsrente).</t>
  </si>
  <si>
    <t xml:space="preserve">3. Studieschuld: DUO-maandbedrag × opslagfactor (afhankelijk van de debetrente van de hypotheek) wordt gekapitaliseerd en als bedrag in euro's van de hypotheek afgetrokken.</t>
  </si>
  <si>
    <t xml:space="preserve">4. Energielabel en alleenstaandenbedrag (€ 17.000) komen er buiten de woonlasttoets bij. De AOW-toets (tabel 2, pensioeninkomen) geldt als het lager uitkomt.</t>
  </si>
  <si>
    <t xml:space="preserve">5. Meenemen van de bestaande hypotheek: elk leningdeel krijgt een eigen toetslast (annuïtair; contractrente bij 10 jaar of langer rentevast, anders AFM-toetsrente; aflossingsvrij over 30 jaar). De woonquote volgt uit de gewogen toetsrente van alle delen samen, inclusief het nieuwe geld (blad Solver).</t>
  </si>
  <si>
    <t xml:space="preserve">6. Financieringsgat = aankoopprijs − meegenomen hypotheek − bruikbare overwaarde; eigen geld (na kosten koper) dicht eerst het gat, de rest is nieuw geld. Haalbaar als dat past onder de ruimte en onder het plafond van de geldverstrekker.</t>
  </si>
  <si>
    <t xml:space="preserve">Beperkingen (bewust niet in dit model)</t>
  </si>
  <si>
    <t xml:space="preserve">Toetsinkomen opbouwen uit flex/ZZP/bonus: voer het uiteindelijke toetsinkomen in. NHG-provisie, familielening als bedrag, overbruggingskrediet, eigen-inleg-limiet, opbrengst tweede woning, verduurzaming boven 100% LTV, erfpacht en de studieschuld per lening (hier één totaal maandbedrag) zijn niet gemodelleerd.</t>
  </si>
  <si>
    <t xml:space="preserve">Waarschuwing over de tabelwaarden</t>
  </si>
  <si>
    <t xml:space="preserve">De woonquote-kolommen 2,0 / 2,5 / 3,5 / 4,5 / 5,5% staan niet in de bron van de app en zijn lineair geschat tussen de buurkolommen. Onafhankelijke datapunten kloppen binnen 0,1 procentpunt (zie Bronnen), maar controleer ze in Bijlage 1 van de Tijdelijke regeling hypothecair krediet 2026 en overschrijf de oranje cellen. Een gewogen toetsrente die in zo'n kolom valt (zoals in scenario 1: 3,445%) hangt direct van die schatting af.</t>
  </si>
  <si>
    <t xml:space="preserve">Indicatief; geen bindend advies. Peildatum scenario's: 8 oktober 2026.</t>
  </si>
  <si>
    <t xml:space="preserve">Samenvatting: wat kunt u lenen?</t>
  </si>
  <si>
    <t xml:space="preserve">Kies een scenario (1 t/m 11). Alle cijfers komen uit de berekening; scenario 1 is uw eigen dossier.</t>
  </si>
  <si>
    <t xml:space="preserve">Gekozen scenario</t>
  </si>
  <si>
    <t xml:space="preserve">Scenario</t>
  </si>
  <si>
    <t xml:space="preserve">Naam</t>
  </si>
  <si>
    <t xml:space="preserve">Type</t>
  </si>
  <si>
    <t xml:space="preserve">Opbouw van de leencapaciteit</t>
  </si>
  <si>
    <t xml:space="preserve">Leencapaciteit op inkomen (woonquote × inkomen, gekapitaliseerd)</t>
  </si>
  <si>
    <t xml:space="preserve">− Schulden en tweede woning</t>
  </si>
  <si>
    <t xml:space="preserve">− Studieschuld</t>
  </si>
  <si>
    <t xml:space="preserve">± Correctie (ondergrens € 0; normaal 0)</t>
  </si>
  <si>
    <t xml:space="preserve">± AOW-toets (pensioeninkomen bindend)</t>
  </si>
  <si>
    <t xml:space="preserve">+ Energielabelbonus</t>
  </si>
  <si>
    <t xml:space="preserve">+ Alleenstaandenbedrag</t>
  </si>
  <si>
    <t xml:space="preserve">Maximale hypotheek o.b.v. inkomen (alles tegen de toetsrente)</t>
  </si>
  <si>
    <t xml:space="preserve">− Toetslast meegenomen leningdelen (omgerekend in euro's)</t>
  </si>
  <si>
    <t xml:space="preserve">± Woonquote bij gewogen toetsrente en overig (restpost)</t>
  </si>
  <si>
    <t xml:space="preserve">Ruimte voor nieuw geld (inkomen)</t>
  </si>
  <si>
    <t xml:space="preserve">− Plafond geldverstrekker (alleen als dat lager is)</t>
  </si>
  <si>
    <t xml:space="preserve">Maximaal nieuw te lenen</t>
  </si>
  <si>
    <t xml:space="preserve">Uitkomst</t>
  </si>
  <si>
    <t xml:space="preserve">Maximale totale hypotheek</t>
  </si>
  <si>
    <t xml:space="preserve">waarvan meegenomen (al geleend)</t>
  </si>
  <si>
    <t xml:space="preserve">Nieuw geld nodig voor de aankoopprijs</t>
  </si>
  <si>
    <t xml:space="preserve">Ruimte (+) of tekort (−)</t>
  </si>
  <si>
    <t xml:space="preserve">Haalbaar?</t>
  </si>
  <si>
    <t xml:space="preserve">Kerngetallen</t>
  </si>
  <si>
    <t xml:space="preserve">Totaal toetsinkomen</t>
  </si>
  <si>
    <t xml:space="preserve">Toetsrente nieuw geld</t>
  </si>
  <si>
    <t xml:space="preserve">Woonquote bij de toetsrente van het nieuwe geld</t>
  </si>
  <si>
    <t xml:space="preserve">Gewogen toetsrente nieuwe hypotheek bij het maximum</t>
  </si>
  <si>
    <t xml:space="preserve">Opslagfactor studieschuld</t>
  </si>
  <si>
    <t xml:space="preserve">Kosten koper</t>
  </si>
  <si>
    <t xml:space="preserve">Overgebleven budget na woning en kosten koper</t>
  </si>
  <si>
    <t xml:space="preserve">Invoer</t>
  </si>
  <si>
    <t xml:space="preserve">Vul alleen de gele cellen met blauwe tekst in. Kolom C is uw eigen dossier; D t/m L zijn testscenario's met bekende app-uitkomst; M is een vrij testscenario.</t>
  </si>
  <si>
    <t xml:space="preserve">Eenheid</t>
  </si>
  <si>
    <t xml:space="preserve">Algemeen</t>
  </si>
  <si>
    <t xml:space="preserve">Naam scenario</t>
  </si>
  <si>
    <t xml:space="preserve">Mijn dossier</t>
  </si>
  <si>
    <t xml:space="preserve">Plafond € 1,5 mln, 30 jaar toetsloptijd</t>
  </si>
  <si>
    <t xml:space="preserve">Deel 2 slechts 10 jaar rentevast</t>
  </si>
  <si>
    <t xml:space="preserve">Nieuwe hypotheek 5 jaar rentevast</t>
  </si>
  <si>
    <t xml:space="preserve">Starter, 1 aanvrager € 60k</t>
  </si>
  <si>
    <t xml:space="preserve">Starter, 2 aanvragers, studieschuld</t>
  </si>
  <si>
    <t xml:space="preserve">Doorstromer, hypotheek niet meenemen</t>
  </si>
  <si>
    <t xml:space="preserve">AOW-toets bindend (leeftijd 60)</t>
  </si>
  <si>
    <t xml:space="preserve">3 delen, 2e woning 5 jaar vast, schulden</t>
  </si>
  <si>
    <t xml:space="preserve">Hoge schuld: ondergrens € 0</t>
  </si>
  <si>
    <t xml:space="preserve">Eigen test</t>
  </si>
  <si>
    <t xml:space="preserve">Doorstromer (bestaande woning)?</t>
  </si>
  <si>
    <t xml:space="preserve">Ja/Nee</t>
  </si>
  <si>
    <t xml:space="preserve">Ja</t>
  </si>
  <si>
    <t xml:space="preserve">Nee</t>
  </si>
  <si>
    <t xml:space="preserve">Twee aanvragers?</t>
  </si>
  <si>
    <t xml:space="preserve">Inkomen en leeftijd</t>
  </si>
  <si>
    <t xml:space="preserve">Toetsinkomen aanvrager 1</t>
  </si>
  <si>
    <t xml:space="preserve">€ per jaar</t>
  </si>
  <si>
    <t xml:space="preserve">Toetsinkomen aanvrager 2</t>
  </si>
  <si>
    <t xml:space="preserve">Leeftijd aanvrager 1</t>
  </si>
  <si>
    <t xml:space="preserve">jaar</t>
  </si>
  <si>
    <t xml:space="preserve">Leeftijd aanvrager 2</t>
  </si>
  <si>
    <t xml:space="preserve">Verwacht pensioeninkomen aanvrager 1 (bij ≥ 57 jaar)</t>
  </si>
  <si>
    <t xml:space="preserve">Verwacht pensioeninkomen aanvrager 2 (bij ≥ 57 jaar)</t>
  </si>
  <si>
    <t xml:space="preserve">Energielabel woning</t>
  </si>
  <si>
    <t xml:space="preserve">label</t>
  </si>
  <si>
    <t xml:space="preserve">A</t>
  </si>
  <si>
    <t xml:space="preserve">C</t>
  </si>
  <si>
    <t xml:space="preserve">B</t>
  </si>
  <si>
    <t xml:space="preserve">G</t>
  </si>
  <si>
    <t xml:space="preserve">Nieuwe hypotheek</t>
  </si>
  <si>
    <t xml:space="preserve">Rente nieuwe hypotheek</t>
  </si>
  <si>
    <t xml:space="preserve">% per jaar</t>
  </si>
  <si>
    <t xml:space="preserve">Rentevaste periode nieuwe hypotheek</t>
  </si>
  <si>
    <t xml:space="preserve">Aankoopprijs beoogde woning</t>
  </si>
  <si>
    <t xml:space="preserve">€</t>
  </si>
  <si>
    <t xml:space="preserve">Plafond totale hypotheek bij geldverstrekker</t>
  </si>
  <si>
    <t xml:space="preserve">Schulden en lasten</t>
  </si>
  <si>
    <t xml:space="preserve">Overige schulden aanvrager 1 (kredietbedrag)</t>
  </si>
  <si>
    <t xml:space="preserve">Overige schulden aanvrager 2 (kredietbedrag)</t>
  </si>
  <si>
    <t xml:space="preserve">Maandelijkse aflossing familielening</t>
  </si>
  <si>
    <t xml:space="preserve">€ per maand</t>
  </si>
  <si>
    <t xml:space="preserve">Studieschuld: totaal maandbedrag DUO (alle leningen)</t>
  </si>
  <si>
    <t xml:space="preserve">Studieschuld: debetrente voor opslagfactor</t>
  </si>
  <si>
    <t xml:space="preserve">keuze</t>
  </si>
  <si>
    <t xml:space="preserve">Gewogen toetsrente</t>
  </si>
  <si>
    <t xml:space="preserve">Contractrente</t>
  </si>
  <si>
    <t xml:space="preserve">Studieschuld: kapitaliseren tegen</t>
  </si>
  <si>
    <t xml:space="preserve">Marginaal</t>
  </si>
  <si>
    <t xml:space="preserve">Gewogen</t>
  </si>
  <si>
    <t xml:space="preserve">Tweede woning (aanhouden)</t>
  </si>
  <si>
    <t xml:space="preserve">Tweede woning met hypotheek aanhouden?</t>
  </si>
  <si>
    <t xml:space="preserve">Hypotheekschuld tweede woning</t>
  </si>
  <si>
    <t xml:space="preserve">Rente tweede woning</t>
  </si>
  <si>
    <t xml:space="preserve">Aflosvorm tweede woning</t>
  </si>
  <si>
    <t xml:space="preserve">Annuïteit</t>
  </si>
  <si>
    <t xml:space="preserve">Aflossingsvrij</t>
  </si>
  <si>
    <t xml:space="preserve">Resterende looptijd tweede woning</t>
  </si>
  <si>
    <t xml:space="preserve">Resterende rentevaste periode tweede woning</t>
  </si>
  <si>
    <t xml:space="preserve">Bestaande hypotheek (alleen doorstromer)</t>
  </si>
  <si>
    <t xml:space="preserve">Hypotheek meenemen naar de nieuwe woning?</t>
  </si>
  <si>
    <t xml:space="preserve">Looptijd voor toetslast meegenomen delen</t>
  </si>
  <si>
    <t xml:space="preserve">Resterend</t>
  </si>
  <si>
    <t xml:space="preserve">30 jaar</t>
  </si>
  <si>
    <t xml:space="preserve">Ingangsdatum hypotheek</t>
  </si>
  <si>
    <t xml:space="preserve">datum</t>
  </si>
  <si>
    <t xml:space="preserve">Peildatum (restsaldi)</t>
  </si>
  <si>
    <t xml:space="preserve">Leningdeel 1</t>
  </si>
  <si>
    <t xml:space="preserve">Deel 1: aflosvorm</t>
  </si>
  <si>
    <t xml:space="preserve">Lineair</t>
  </si>
  <si>
    <t xml:space="preserve">Deel 1: restsaldo op peildatum</t>
  </si>
  <si>
    <t xml:space="preserve">Deel 1: contractrente</t>
  </si>
  <si>
    <t xml:space="preserve">Deel 1: oorspronkelijke rentevaste periode</t>
  </si>
  <si>
    <t xml:space="preserve">Leningdeel 2</t>
  </si>
  <si>
    <t xml:space="preserve">Deel 2: aflosvorm</t>
  </si>
  <si>
    <t xml:space="preserve">Deel 2: restsaldo op peildatum</t>
  </si>
  <si>
    <t xml:space="preserve">Deel 2: contractrente</t>
  </si>
  <si>
    <t xml:space="preserve">Deel 2: oorspronkelijke rentevaste periode</t>
  </si>
  <si>
    <t xml:space="preserve">Leningdeel 3</t>
  </si>
  <si>
    <t xml:space="preserve">Deel 3: aflosvorm</t>
  </si>
  <si>
    <t xml:space="preserve">Deel 3: restsaldo op peildatum</t>
  </si>
  <si>
    <t xml:space="preserve">Deel 3: contractrente</t>
  </si>
  <si>
    <t xml:space="preserve">Deel 3: oorspronkelijke rentevaste periode</t>
  </si>
  <si>
    <t xml:space="preserve">Leningdeel 4</t>
  </si>
  <si>
    <t xml:space="preserve">Deel 4: aflosvorm</t>
  </si>
  <si>
    <t xml:space="preserve">Deel 4: restsaldo op peildatum</t>
  </si>
  <si>
    <t xml:space="preserve">Deel 4: contractrente</t>
  </si>
  <si>
    <t xml:space="preserve">Deel 4: oorspronkelijke rentevaste periode</t>
  </si>
  <si>
    <t xml:space="preserve">Woning, eigen geld en kosten koper</t>
  </si>
  <si>
    <t xml:space="preserve">Marktwaarde huidige woning</t>
  </si>
  <si>
    <t xml:space="preserve">Verkoopwaarde als % van marktwaarde (voorzichtig)</t>
  </si>
  <si>
    <t xml:space="preserve">%</t>
  </si>
  <si>
    <t xml:space="preserve">Eigen geld (liquide) voor de aankoop</t>
  </si>
  <si>
    <t xml:space="preserve">Overdrachtsbelasting</t>
  </si>
  <si>
    <t xml:space="preserve">% koopsom</t>
  </si>
  <si>
    <t xml:space="preserve">Notaris</t>
  </si>
  <si>
    <t xml:space="preserve">Taxatie</t>
  </si>
  <si>
    <t xml:space="preserve">Hypotheekadvies en bemiddeling</t>
  </si>
  <si>
    <t xml:space="preserve">Bankgarantie meenemen?</t>
  </si>
  <si>
    <t xml:space="preserve">Aankoopmakelaar meenemen?</t>
  </si>
  <si>
    <t xml:space="preserve">Kosten koper meetellen in de toets?</t>
  </si>
  <si>
    <t xml:space="preserve">Berekening</t>
  </si>
  <si>
    <t xml:space="preserve">Alle cellen zijn formules. Opbouw per scenariokolom; groen = sleutelresultaat. Rente-invoer staat als fractie (4,00% = 0,04).</t>
  </si>
  <si>
    <t xml:space="preserve">Stap</t>
  </si>
  <si>
    <t xml:space="preserve">1. Uitgangspunten</t>
  </si>
  <si>
    <t xml:space="preserve">Doorstromer (1 = ja)</t>
  </si>
  <si>
    <t xml:space="preserve">Twee aanvragers (1 = ja)</t>
  </si>
  <si>
    <t xml:space="preserve">Hypotheek wordt meegenomen (1 = ja)</t>
  </si>
  <si>
    <t xml:space="preserve">Toetsrente nieuwe hypotheek</t>
  </si>
  <si>
    <t xml:space="preserve">Kapitalisatiefactor (360 mnd) bij toetsrente</t>
  </si>
  <si>
    <t xml:space="preserve">2. Schulden en lasten</t>
  </si>
  <si>
    <t xml:space="preserve">Overige schulden: maandlast (2%)</t>
  </si>
  <si>
    <t xml:space="preserve">€ p/m</t>
  </si>
  <si>
    <t xml:space="preserve">Tweede woning aangehouden (1 = ja)</t>
  </si>
  <si>
    <t xml:space="preserve">Tweede woning: toetsrente</t>
  </si>
  <si>
    <t xml:space="preserve">Tweede woning: toetslooptijd</t>
  </si>
  <si>
    <t xml:space="preserve">maanden</t>
  </si>
  <si>
    <t xml:space="preserve">Tweede woning: toetslast</t>
  </si>
  <si>
    <t xml:space="preserve">Totale maandlast schulden (excl. studieschuld)</t>
  </si>
  <si>
    <t xml:space="preserve">3. Bestaande hypotheek: toets per leningdeel</t>
  </si>
  <si>
    <t xml:space="preserve">Verstreken maanden sinds ingangsdatum</t>
  </si>
  <si>
    <t xml:space="preserve">Resterende looptijd (360 min verstreken)</t>
  </si>
  <si>
    <t xml:space="preserve">Deel 1: restsaldo</t>
  </si>
  <si>
    <t xml:space="preserve">Deel 1: resterende rentevaste periode</t>
  </si>
  <si>
    <t xml:space="preserve">Deel 1: toetsrente</t>
  </si>
  <si>
    <t xml:space="preserve">Deel 1: toetslooptijd</t>
  </si>
  <si>
    <t xml:space="preserve">Deel 1: toetslast (annuïteit)</t>
  </si>
  <si>
    <t xml:space="preserve">Deel 2: restsaldo</t>
  </si>
  <si>
    <t xml:space="preserve">Deel 2: resterende rentevaste periode</t>
  </si>
  <si>
    <t xml:space="preserve">Deel 2: toetsrente</t>
  </si>
  <si>
    <t xml:space="preserve">Deel 2: toetslooptijd</t>
  </si>
  <si>
    <t xml:space="preserve">Deel 2: toetslast (annuïteit)</t>
  </si>
  <si>
    <t xml:space="preserve">Deel 3: restsaldo</t>
  </si>
  <si>
    <t xml:space="preserve">Deel 3: resterende rentevaste periode</t>
  </si>
  <si>
    <t xml:space="preserve">Deel 3: toetsrente</t>
  </si>
  <si>
    <t xml:space="preserve">Deel 3: toetslooptijd</t>
  </si>
  <si>
    <t xml:space="preserve">Deel 3: toetslast (annuïteit)</t>
  </si>
  <si>
    <t xml:space="preserve">Deel 4: restsaldo</t>
  </si>
  <si>
    <t xml:space="preserve">Deel 4: resterende rentevaste periode</t>
  </si>
  <si>
    <t xml:space="preserve">Deel 4: toetsrente</t>
  </si>
  <si>
    <t xml:space="preserve">Deel 4: toetslooptijd</t>
  </si>
  <si>
    <t xml:space="preserve">Deel 4: toetslast (annuïteit)</t>
  </si>
  <si>
    <t xml:space="preserve">Totale restschuld bestaande hypotheek</t>
  </si>
  <si>
    <t xml:space="preserve">Meegenomen hypotheek</t>
  </si>
  <si>
    <t xml:space="preserve">Toetslast meegenomen delen samen</t>
  </si>
  <si>
    <t xml:space="preserve">Σ saldo × looptijd × toetsrente (teller gewogen rente)</t>
  </si>
  <si>
    <t xml:space="preserve">Σ saldo × looptijd (noemer gewogen rente)</t>
  </si>
  <si>
    <t xml:space="preserve">Samengestelde toets actief (1 = ja)</t>
  </si>
  <si>
    <t xml:space="preserve">4. Financieringsgat en kosten koper</t>
  </si>
  <si>
    <t xml:space="preserve">Verkoopwaarde huidige woning (voorzichtig)</t>
  </si>
  <si>
    <t xml:space="preserve">Bruikbare overwaarde</t>
  </si>
  <si>
    <t xml:space="preserve">Restschuld-tekort bij verkoop</t>
  </si>
  <si>
    <t xml:space="preserve">Financieringsgat (aankoopprijs − meegenomen − overwaarde + tekort)</t>
  </si>
  <si>
    <t xml:space="preserve">Bankgarantie</t>
  </si>
  <si>
    <t xml:space="preserve">Aankoopmakelaar</t>
  </si>
  <si>
    <t xml:space="preserve">Kosten koper totaal</t>
  </si>
  <si>
    <t xml:space="preserve">Kosten koper die van eigen geld afgaan</t>
  </si>
  <si>
    <t xml:space="preserve">Eigen geld beschikbaar voor het gat</t>
  </si>
  <si>
    <t xml:space="preserve">Eigen geld ingezet op het gat</t>
  </si>
  <si>
    <t xml:space="preserve">Nieuw geld nodig (doorstromer)</t>
  </si>
  <si>
    <t xml:space="preserve">5. Studieschuld (art. 3a)</t>
  </si>
  <si>
    <t xml:space="preserve">Nieuw geld in de weging van de debetrente</t>
  </si>
  <si>
    <t xml:space="preserve">Meegenomen saldo in de weging</t>
  </si>
  <si>
    <t xml:space="preserve">Σ saldo × toetsrente (meegenomen)</t>
  </si>
  <si>
    <t xml:space="preserve">Σ saldo × contractrente (meegenomen)</t>
  </si>
  <si>
    <t xml:space="preserve">Gewicht nieuw geld</t>
  </si>
  <si>
    <t xml:space="preserve">Gewogen toetsrente (gewicht saldo)</t>
  </si>
  <si>
    <t xml:space="preserve">Gewogen contractrente (gewicht saldo)</t>
  </si>
  <si>
    <t xml:space="preserve">Debetrente voor de opslagfactor</t>
  </si>
  <si>
    <t xml:space="preserve">Opslagfactor</t>
  </si>
  <si>
    <t xml:space="preserve">Kapitalisatierente studieschuld</t>
  </si>
  <si>
    <t xml:space="preserve">Maandbedrag per geleende euro</t>
  </si>
  <si>
    <t xml:space="preserve">Toetslast studieschuld (termijn × factor)</t>
  </si>
  <si>
    <t xml:space="preserve">Afslag studieschuld op de hypotheek</t>
  </si>
  <si>
    <t xml:space="preserve">6. Leencapaciteit op inkomen (alles als nieuw geld tegen de toetsrente)</t>
  </si>
  <si>
    <t xml:space="preserve">Inkomensrij (naar beneden op € 1.000)</t>
  </si>
  <si>
    <t xml:space="preserve">Rentekolom (1 = ≤ 1,5% … 10 = 6,0%)</t>
  </si>
  <si>
    <t xml:space="preserve">Inkomen binnen tabelbereik</t>
  </si>
  <si>
    <t xml:space="preserve">Tabelrij (interpolatie)</t>
  </si>
  <si>
    <t xml:space="preserve">Woonquote (tabel 1)</t>
  </si>
  <si>
    <t xml:space="preserve">Maximale woonlast per maand</t>
  </si>
  <si>
    <t xml:space="preserve">Leencapaciteit voor schulden</t>
  </si>
  <si>
    <t xml:space="preserve">Na schulden en tweede woning</t>
  </si>
  <si>
    <t xml:space="preserve">Na studieschuld</t>
  </si>
  <si>
    <t xml:space="preserve">Alleenstaandenbedrag</t>
  </si>
  <si>
    <t xml:space="preserve">Energielabelbonus</t>
  </si>
  <si>
    <t xml:space="preserve">7. AOW-toets (pensioeninkomen, tabel 2)</t>
  </si>
  <si>
    <t xml:space="preserve">Aanvrager 1 binnen 10 jaar van AOW (1 = ja)</t>
  </si>
  <si>
    <t xml:space="preserve">Aanvrager 2 binnen 10 jaar van AOW (1 = ja)</t>
  </si>
  <si>
    <t xml:space="preserve">Pensioeninkomen ontbreekt (1 = ja)</t>
  </si>
  <si>
    <t xml:space="preserve">AOW-toets actief (1 = ja)</t>
  </si>
  <si>
    <t xml:space="preserve">Toetsinkomen in het pensioenscenario</t>
  </si>
  <si>
    <t xml:space="preserve">Pensioeninkomen binnen tabelbereik</t>
  </si>
  <si>
    <t xml:space="preserve">Woonquote (tabel 2)</t>
  </si>
  <si>
    <t xml:space="preserve">Leencapaciteit op pensioeninkomen na schulden en studieschuld</t>
  </si>
  <si>
    <t xml:space="preserve">Alleenstaandenbedrag in het pensioenscenario</t>
  </si>
  <si>
    <t xml:space="preserve">Pensioenscenario bindend (1 = ja)</t>
  </si>
  <si>
    <t xml:space="preserve">Leencapaciteit na AOW-toets</t>
  </si>
  <si>
    <t xml:space="preserve">Maximale hypotheek o.b.v. inkomen (alles tegen toetsrente)</t>
  </si>
  <si>
    <t xml:space="preserve">8. Toets van de samenstelling bij meenemen (zie Solver)</t>
  </si>
  <si>
    <t xml:space="preserve">Max. nieuw geld, inkomensscenario</t>
  </si>
  <si>
    <t xml:space="preserve">Max. nieuw geld, pensioenscenario</t>
  </si>
  <si>
    <t xml:space="preserve">Totale hypotheek die het inkomen toelaat (meegenomen + nieuw)</t>
  </si>
  <si>
    <t xml:space="preserve">Gewogen toetsrente van de nieuwe hypotheek bij dit maximum</t>
  </si>
  <si>
    <t xml:space="preserve">9. Haalbaarheid</t>
  </si>
  <si>
    <t xml:space="preserve">Ruimte onder plafond geldverstrekker</t>
  </si>
  <si>
    <t xml:space="preserve">Maximaal nieuw te lenen (doorstromer)</t>
  </si>
  <si>
    <t xml:space="preserve">Ruimte of tekort (doorstromer)</t>
  </si>
  <si>
    <t xml:space="preserve">Eigen geld na kosten koper (starter)</t>
  </si>
  <si>
    <t xml:space="preserve">Tekort aan eigen geld (starter)</t>
  </si>
  <si>
    <t xml:space="preserve">Benodigde hypotheek (starter)</t>
  </si>
  <si>
    <t xml:space="preserve">Maximale hypotheek (starter)</t>
  </si>
  <si>
    <t xml:space="preserve">Tekort (starter)</t>
  </si>
  <si>
    <t xml:space="preserve">UITKOMST: maximale totale hypotheek</t>
  </si>
  <si>
    <t xml:space="preserve">UITKOMST: maximaal nieuw te lenen</t>
  </si>
  <si>
    <t xml:space="preserve">UITKOMST: nieuw geld nodig voor deze woning</t>
  </si>
  <si>
    <t xml:space="preserve">UITKOMST: ruimte (+) of tekort (−)</t>
  </si>
  <si>
    <t xml:space="preserve">UITKOMST: tekort</t>
  </si>
  <si>
    <t xml:space="preserve">UITKOMST: haalbaar (1 = ja)</t>
  </si>
  <si>
    <t xml:space="preserve">Overgebleven budget na woning en kosten koper (doorstromer)</t>
  </si>
  <si>
    <t xml:space="preserve">Solver: samengestelde toets met gewogen toetsrente</t>
  </si>
  <si>
    <t xml:space="preserve">De woonquote hangt af van de gewogen toetsrente van alle leningdelen, en die beweegt mee met het nieuwe bedrag. Per rentekolom wordt het bereik van bedragen bepaald waarin die kolom geldt; het hoogste haalbare bedrag wint.</t>
  </si>
  <si>
    <t xml:space="preserve">Blok A: inkomensscenario (tabel 1)</t>
  </si>
  <si>
    <t xml:space="preserve">Toetsinkomen</t>
  </si>
  <si>
    <t xml:space="preserve">Bonussen buiten de woonlast (energie + alleenstaand)</t>
  </si>
  <si>
    <t xml:space="preserve">Kolom 1: woonquote</t>
  </si>
  <si>
    <t xml:space="preserve">Kolom 1: bedrag als de woonquote van deze kolom geldt</t>
  </si>
  <si>
    <t xml:space="preserve">Kolom 1: laagste bedrag waarbij de gewogen rente in deze kolom valt</t>
  </si>
  <si>
    <t xml:space="preserve">Kolom 1: hoogste bedrag waarbij de gewogen rente in deze kolom valt</t>
  </si>
  <si>
    <t xml:space="preserve">Kolom 1: haalbaar bedrag (−1 = onmogelijk)</t>
  </si>
  <si>
    <t xml:space="preserve">Kolom 2: woonquote</t>
  </si>
  <si>
    <t xml:space="preserve">Kolom 2: bedrag als de woonquote van deze kolom geldt</t>
  </si>
  <si>
    <t xml:space="preserve">Kolom 2: laagste bedrag waarbij de gewogen rente in deze kolom valt</t>
  </si>
  <si>
    <t xml:space="preserve">Kolom 2: hoogste bedrag waarbij de gewogen rente in deze kolom valt</t>
  </si>
  <si>
    <t xml:space="preserve">Kolom 2: haalbaar bedrag (−1 = onmogelijk)</t>
  </si>
  <si>
    <t xml:space="preserve">Kolom 3: woonquote</t>
  </si>
  <si>
    <t xml:space="preserve">Kolom 3: bedrag als de woonquote van deze kolom geldt</t>
  </si>
  <si>
    <t xml:space="preserve">Kolom 3: laagste bedrag waarbij de gewogen rente in deze kolom valt</t>
  </si>
  <si>
    <t xml:space="preserve">Kolom 3: hoogste bedrag waarbij de gewogen rente in deze kolom valt</t>
  </si>
  <si>
    <t xml:space="preserve">Kolom 3: haalbaar bedrag (−1 = onmogelijk)</t>
  </si>
  <si>
    <t xml:space="preserve">Kolom 4: woonquote</t>
  </si>
  <si>
    <t xml:space="preserve">Kolom 4: bedrag als de woonquote van deze kolom geldt</t>
  </si>
  <si>
    <t xml:space="preserve">Kolom 4: laagste bedrag waarbij de gewogen rente in deze kolom valt</t>
  </si>
  <si>
    <t xml:space="preserve">Kolom 4: hoogste bedrag waarbij de gewogen rente in deze kolom valt</t>
  </si>
  <si>
    <t xml:space="preserve">Kolom 4: haalbaar bedrag (−1 = onmogelijk)</t>
  </si>
  <si>
    <t xml:space="preserve">Kolom 5: woonquote</t>
  </si>
  <si>
    <t xml:space="preserve">Kolom 5: bedrag als de woonquote van deze kolom geldt</t>
  </si>
  <si>
    <t xml:space="preserve">Kolom 5: laagste bedrag waarbij de gewogen rente in deze kolom valt</t>
  </si>
  <si>
    <t xml:space="preserve">Kolom 5: hoogste bedrag waarbij de gewogen rente in deze kolom valt</t>
  </si>
  <si>
    <t xml:space="preserve">Kolom 5: haalbaar bedrag (−1 = onmogelijk)</t>
  </si>
  <si>
    <t xml:space="preserve">Kolom 6: woonquote</t>
  </si>
  <si>
    <t xml:space="preserve">Kolom 6: bedrag als de woonquote van deze kolom geldt</t>
  </si>
  <si>
    <t xml:space="preserve">Kolom 6: laagste bedrag waarbij de gewogen rente in deze kolom valt</t>
  </si>
  <si>
    <t xml:space="preserve">Kolom 6: hoogste bedrag waarbij de gewogen rente in deze kolom valt</t>
  </si>
  <si>
    <t xml:space="preserve">Kolom 6: haalbaar bedrag (−1 = onmogelijk)</t>
  </si>
  <si>
    <t xml:space="preserve">Kolom 7: woonquote</t>
  </si>
  <si>
    <t xml:space="preserve">Kolom 7: bedrag als de woonquote van deze kolom geldt</t>
  </si>
  <si>
    <t xml:space="preserve">Kolom 7: laagste bedrag waarbij de gewogen rente in deze kolom valt</t>
  </si>
  <si>
    <t xml:space="preserve">Kolom 7: hoogste bedrag waarbij de gewogen rente in deze kolom valt</t>
  </si>
  <si>
    <t xml:space="preserve">Kolom 7: haalbaar bedrag (−1 = onmogelijk)</t>
  </si>
  <si>
    <t xml:space="preserve">Kolom 8: woonquote</t>
  </si>
  <si>
    <t xml:space="preserve">Kolom 8: bedrag als de woonquote van deze kolom geldt</t>
  </si>
  <si>
    <t xml:space="preserve">Kolom 8: laagste bedrag waarbij de gewogen rente in deze kolom valt</t>
  </si>
  <si>
    <t xml:space="preserve">Kolom 8: hoogste bedrag waarbij de gewogen rente in deze kolom valt</t>
  </si>
  <si>
    <t xml:space="preserve">Kolom 8: haalbaar bedrag (−1 = onmogelijk)</t>
  </si>
  <si>
    <t xml:space="preserve">Kolom 9: woonquote</t>
  </si>
  <si>
    <t xml:space="preserve">Kolom 9: bedrag als de woonquote van deze kolom geldt</t>
  </si>
  <si>
    <t xml:space="preserve">Kolom 9: laagste bedrag waarbij de gewogen rente in deze kolom valt</t>
  </si>
  <si>
    <t xml:space="preserve">Kolom 9: hoogste bedrag waarbij de gewogen rente in deze kolom valt</t>
  </si>
  <si>
    <t xml:space="preserve">Kolom 9: haalbaar bedrag (−1 = onmogelijk)</t>
  </si>
  <si>
    <t xml:space="preserve">Kolom 10: woonquote</t>
  </si>
  <si>
    <t xml:space="preserve">Kolom 10: bedrag als de woonquote van deze kolom geldt</t>
  </si>
  <si>
    <t xml:space="preserve">Kolom 10: laagste bedrag waarbij de gewogen rente in deze kolom valt</t>
  </si>
  <si>
    <t xml:space="preserve">Kolom 10: hoogste bedrag waarbij de gewogen rente in deze kolom valt</t>
  </si>
  <si>
    <t xml:space="preserve">Kolom 10: haalbaar bedrag (−1 = onmogelijk)</t>
  </si>
  <si>
    <t xml:space="preserve">Resultaat blok: hoogste haalbare bedrag nieuw geld</t>
  </si>
  <si>
    <t xml:space="preserve">Blok B: pensioenscenario (tabel 2)</t>
  </si>
  <si>
    <t xml:space="preserve">Tabellen en parameters</t>
  </si>
  <si>
    <t xml:space="preserve">Blauwe cellen op gele achtergrond zijn invoer die u mag aanpassen; oranje cellen zijn geschatte tabelkolommen (formule) die u kunt overschrijven met de officiële waarde.</t>
  </si>
  <si>
    <t xml:space="preserve">A. Parameters (2026)</t>
  </si>
  <si>
    <t xml:space="preserve">Waarde</t>
  </si>
  <si>
    <t xml:space="preserve">Status</t>
  </si>
  <si>
    <t xml:space="preserve">Bron / toelichting</t>
  </si>
  <si>
    <t xml:space="preserve">AFM-toetsrente (rentevast &lt; 10 jaar)</t>
  </si>
  <si>
    <t xml:space="preserve">Geverifieerd t/m Q3 2026; Q4 2026 niet gevonden</t>
  </si>
  <si>
    <t xml:space="preserve">AFM, kwartaalbesluit; hoogste van toetsrente en werkelijke rente</t>
  </si>
  <si>
    <t xml:space="preserve">Looptijd toets (maanden)</t>
  </si>
  <si>
    <t xml:space="preserve">Geverifieerd</t>
  </si>
  <si>
    <t xml:space="preserve">Tijdelijke regeling hypothecair krediet art. 3: annuïtair, 30 jaar</t>
  </si>
  <si>
    <t xml:space="preserve">Overige schulden: maandlast als % van het schuldbedrag</t>
  </si>
  <si>
    <t xml:space="preserve">Vereenvoudiging</t>
  </si>
  <si>
    <t xml:space="preserve">Gangbaar: 2% van het kredietbedrag, of lagere vaste maandlast uit contract</t>
  </si>
  <si>
    <t xml:space="preserve">Alleenstaandenbedrag (extra lenen)</t>
  </si>
  <si>
    <t xml:space="preserve">Bedrag geverifieerd</t>
  </si>
  <si>
    <t xml:space="preserve">Nibud advies hypotheeknormen 2026 (blijft € 17.000)</t>
  </si>
  <si>
    <t xml:space="preserve">Minimum toetsinkomen alleenstaandenbedrag</t>
  </si>
  <si>
    <t xml:space="preserve">Bronnen verschillen (€ 28.000 / € 30.000)</t>
  </si>
  <si>
    <t xml:space="preserve">HomeFinance en CalcForLife noemen € 30.000</t>
  </si>
  <si>
    <t xml:space="preserve">Idem, vanaf AOW-leeftijd</t>
  </si>
  <si>
    <t xml:space="preserve">Bronnen verschillen</t>
  </si>
  <si>
    <t xml:space="preserve">HomeFinance en CalcForLife noemen € 29.000</t>
  </si>
  <si>
    <t xml:space="preserve">Leeftijd waarop de AOW-toets (pensioeninkomen) meedoet</t>
  </si>
  <si>
    <t xml:space="preserve">Aanname</t>
  </si>
  <si>
    <t xml:space="preserve">AOW-leeftijd 67 min 10 jaar; vanaf 2028 67 jaar en 3 maanden: leeftijd is hier een afronding</t>
  </si>
  <si>
    <t xml:space="preserve">Bankgarantie (% van de koopsom)</t>
  </si>
  <si>
    <t xml:space="preserve">Indicatief</t>
  </si>
  <si>
    <t xml:space="preserve">1% van de waarborgsom van 10%</t>
  </si>
  <si>
    <t xml:space="preserve">Aankoopmakelaar (% van de koopsom)</t>
  </si>
  <si>
    <t xml:space="preserve">Courtage, optioneel</t>
  </si>
  <si>
    <t xml:space="preserve">Tolerantie controle app tegen Excel (euro)</t>
  </si>
  <si>
    <t xml:space="preserve">Instelling</t>
  </si>
  <si>
    <t xml:space="preserve">Verschillen kleiner dan dit bedrag tellen als gelijk</t>
  </si>
  <si>
    <t xml:space="preserve">B. Extra leenruimte energielabel (2026)</t>
  </si>
  <si>
    <t xml:space="preserve">Bronnen consistent; A++++ zonder 10-jaars energieprestatiegarantie (met garantie € 40.000)</t>
  </si>
  <si>
    <t xml:space="preserve">F</t>
  </si>
  <si>
    <t xml:space="preserve">E</t>
  </si>
  <si>
    <t xml:space="preserve">D</t>
  </si>
  <si>
    <t xml:space="preserve">A+</t>
  </si>
  <si>
    <t xml:space="preserve">A++</t>
  </si>
  <si>
    <t xml:space="preserve">A+++</t>
  </si>
  <si>
    <t xml:space="preserve">A++++</t>
  </si>
  <si>
    <t xml:space="preserve">C. Opslagfactor studieschuld (art. 3a)</t>
  </si>
  <si>
    <t xml:space="preserve">Debetrente tot en met</t>
  </si>
  <si>
    <t xml:space="preserve">Niet afzonderlijk tegen de Staatscourant gecontroleerd; bronnen verschillen (zie Bronnen)</t>
  </si>
  <si>
    <t xml:space="preserve">D. Tabel 1: woonquote (financieringslastpercentage), tot AOW-leeftijd</t>
  </si>
  <si>
    <t xml:space="preserve">Toetsrente tot en met →</t>
  </si>
  <si>
    <t xml:space="preserve">Toetsinkomen vanaf ↓</t>
  </si>
  <si>
    <t xml:space="preserve">officieel</t>
  </si>
  <si>
    <t xml:space="preserve">geschat</t>
  </si>
  <si>
    <t xml:space="preserve">Officiële kolommen uit de app-code (Stcrt. 2025, 36471). Geschatte kolommen: lineair tussen de buurkolommen; controleer in Bijlage 1 en overschrijf.</t>
  </si>
  <si>
    <t xml:space="preserve">E. Tabel 2: woonquote vanaf AOW-leeftijd (pensioenscenario)</t>
  </si>
  <si>
    <t xml:space="preserve">Zelfde opzet; wordt gebruikt voor het verwachte pensioeninkomen.</t>
  </si>
  <si>
    <t xml:space="preserve">Controle: Excel-model tegen de app-engine</t>
  </si>
  <si>
    <t xml:space="preserve">Excel = formules in dit werkboek (onafhankelijk opgebouwd). App = momentopname van de engine (src/calcEngine.js) voor dezelfde invoer. Scenario 11 is vrij: vul daar zelf de app-uitkomst in.</t>
  </si>
  <si>
    <t xml:space="preserve">Matrix 1: Excel-model</t>
  </si>
  <si>
    <t xml:space="preserve">Maandlast schulden (excl. studieschuld)</t>
  </si>
  <si>
    <t xml:space="preserve">Toetslast tweede woning</t>
  </si>
  <si>
    <t xml:space="preserve">Debetrente studieschuld</t>
  </si>
  <si>
    <t xml:space="preserve">Afslag studieschuld</t>
  </si>
  <si>
    <t xml:space="preserve">Maximale hypotheek o.b.v. inkomen</t>
  </si>
  <si>
    <t xml:space="preserve">Restschuld bestaande hypotheek</t>
  </si>
  <si>
    <t xml:space="preserve">Nieuw geld nodig</t>
  </si>
  <si>
    <t xml:space="preserve">Tekort</t>
  </si>
  <si>
    <t xml:space="preserve">Haalbaar (1 = ja)</t>
  </si>
  <si>
    <t xml:space="preserve">Matrix 2: app-engine (momentopname)</t>
  </si>
  <si>
    <t xml:space="preserve">n.v.t.</t>
  </si>
  <si>
    <t xml:space="preserve">Matrix 3: verschil (Excel − app)</t>
  </si>
  <si>
    <t xml:space="preserve">Bronnen en feitencontrole</t>
  </si>
  <si>
    <t xml:space="preserve">Status per cijfer of regel. Controle uitgevoerd op 12 oktober 2026 via zoekopdrachten; de officiële sites (officielebekendmakingen.nl, wetten.overheid.nl, nhg.nl) waren niet direct bereikbaar.</t>
  </si>
  <si>
    <t xml:space="preserve">Onderdeel</t>
  </si>
  <si>
    <t xml:space="preserve">Waarde in model</t>
  </si>
  <si>
    <t xml:space="preserve">Bron / opmerking</t>
  </si>
  <si>
    <t xml:space="preserve">AFM-toetsrente</t>
  </si>
  <si>
    <t xml:space="preserve">5,00%</t>
  </si>
  <si>
    <t xml:space="preserve">Geverifieerd (t/m Q3)</t>
  </si>
  <si>
    <t xml:space="preserve">AFM: Q1 en Q2 2026 5%; Q3 5% (HomeFinance). Q4 2026 niet gevonden: controleer afm.nl.</t>
  </si>
  <si>
    <t xml:space="preserve">Toets: annuïtair over 30 jaar, ongeacht aflosvorm</t>
  </si>
  <si>
    <t xml:space="preserve">360 mnd</t>
  </si>
  <si>
    <t xml:space="preserve">Tijdelijke regeling hypothecair krediet art. 3 (tekst per 1-1-2026, inview.nl).</t>
  </si>
  <si>
    <t xml:space="preserve">Aflossingsvrij deel altijd 30 jaar toetsen</t>
  </si>
  <si>
    <t xml:space="preserve">Geverifieerd (NHG)</t>
  </si>
  <si>
    <t xml:space="preserve">NHG Beschrijving berekeningen NHG-Toets: voor aflossingsvrij altijd 30 jaar.</t>
  </si>
  <si>
    <t xml:space="preserve">Gewogen toetsrente over leningdelen</t>
  </si>
  <si>
    <t xml:space="preserve">Σ(saldo × looptijd × rente) / Σ(saldo × looptijd)</t>
  </si>
  <si>
    <t xml:space="preserve">NHG-toets: K × L × R / K × L; geldt als toetsrente voor de woonquote.</t>
  </si>
  <si>
    <t xml:space="preserve">Bestaand leningdeel &lt; 10 jaar rentevast</t>
  </si>
  <si>
    <t xml:space="preserve">Regeling: rentevast &lt; 10 jaar, dan hoogste van toetsrente en werkelijke rente. Verlopen/variabel telt als &lt; 10 jaar.</t>
  </si>
  <si>
    <t xml:space="preserve">Woonquote tabel 1, kolommen 1,5 / 3,0 / 4,0 / 5,0 / 6,0%</t>
  </si>
  <si>
    <t xml:space="preserve">Zie Tabellen</t>
  </si>
  <si>
    <t xml:space="preserve">Gedeeltelijk geverifieerd</t>
  </si>
  <si>
    <t xml:space="preserve">Uit app-code (Stcrt. 2025, 36471), niet opnieuw ingezien. Datapunten consistent: € 70.000 → 23,6% (4%); SEH: modaal € 46.500 bij 5% → 24,6%.</t>
  </si>
  <si>
    <t xml:space="preserve">Woonquote, kolommen 2,0 / 2,5 / 3,5 / 4,5 / 5,5%</t>
  </si>
  <si>
    <t xml:space="preserve">Lineair geschat</t>
  </si>
  <si>
    <t xml:space="preserve">NIET geverifieerd</t>
  </si>
  <si>
    <t xml:space="preserve">Check: Hypotheker.nl 19,3% (≤ € 30.000), 25,1% (€ 98-100.000), 25,8% (€ 109-111.000) liggen binnen 0,1 punt van de geschatte 3,5%-kolom (19,25% / 25,15% / 25,75%).</t>
  </si>
  <si>
    <t xml:space="preserve">Afronding woonquote</t>
  </si>
  <si>
    <t xml:space="preserve">0,1 procentpunt sinds 2026</t>
  </si>
  <si>
    <t xml:space="preserve">Nibud Advies hypotheeknormen 2026 (was 0,5).</t>
  </si>
  <si>
    <t xml:space="preserve">€ 17.000</t>
  </si>
  <si>
    <t xml:space="preserve">Nibud advies 2026.</t>
  </si>
  <si>
    <t xml:space="preserve">Minimuminkomen alleenstaandenbedrag</t>
  </si>
  <si>
    <t xml:space="preserve">€ 30.000 (AOW € 29.000)</t>
  </si>
  <si>
    <t xml:space="preserve">Hypotheker.nl noemt € 28.000; HomeFinance en CalcForLife € 30.000.</t>
  </si>
  <si>
    <t xml:space="preserve">Energielabel extra leenruimte</t>
  </si>
  <si>
    <t xml:space="preserve">D/C 5.000; B/A 10.000; A+/A++ 20.000; A+++ 25.000; A++++ 30.000</t>
  </si>
  <si>
    <t xml:space="preserve">Meerdere bronnen consistent (Adfiz, Homeloan, LWM). A++++ met 10-jaars garantie: € 40.000.</t>
  </si>
  <si>
    <t xml:space="preserve">Studieschuld: toetslast = maandbedrag × opslagfactor</t>
  </si>
  <si>
    <t xml:space="preserve">Zie Tabellen C</t>
  </si>
  <si>
    <t xml:space="preserve">Methode geverifieerd, tabel NIET</t>
  </si>
  <si>
    <t xml:space="preserve">Sinds 2024 werkelijk maandbedrag. Factortabel komt uit de opdracht; bronnen wijken af (ikbenfrits: 1,05 t/m 2%, 1,20 voor 3,01-4%, 1,40 vanaf 6,01%).</t>
  </si>
  <si>
    <t xml:space="preserve">Overige schulden</t>
  </si>
  <si>
    <t xml:space="preserve">2% van het kredietbedrag per maand</t>
  </si>
  <si>
    <t xml:space="preserve">Gangbaar; lagere vaste maandlast uit contract mag. Alle leningen tellen mee, niet alleen BKR.</t>
  </si>
  <si>
    <t xml:space="preserve">Overdrachtsbelasting 2026</t>
  </si>
  <si>
    <t xml:space="preserve">2% eigen woning, 8% overig, 0% starter ≤ € 555.000</t>
  </si>
  <si>
    <t xml:space="preserve">ERA, Eshuis, Homeloan, JAN: grens € 555.000, leeftijd 18 t/m 34, 8% voor niet-hoofdverblijf.</t>
  </si>
  <si>
    <t xml:space="preserve">Hypotheekrenteaftrek 2026</t>
  </si>
  <si>
    <t xml:space="preserve">35,75% eerste schijf, max. 37,56%, grens € 38.883</t>
  </si>
  <si>
    <t xml:space="preserve">Geverifieerd; app gecorrigeerd</t>
  </si>
  <si>
    <t xml:space="preserve">De app gebruikte 35,70%; dit is 35,75% (Belastingdienst-schijven 2026 via Raisin, MKB Servicedesk e.a.).</t>
  </si>
  <si>
    <t xml:space="preserve">Eigenwoningforfait</t>
  </si>
  <si>
    <t xml:space="preserve">0,35% tot € 1.350.000, 2,35% erboven</t>
  </si>
  <si>
    <t xml:space="preserve">Bron wijkt licht af</t>
  </si>
  <si>
    <t xml:space="preserve">ABN AMRO Financial Focus: € 1.350.000; één bron € 1.340.000.</t>
  </si>
  <si>
    <t xml:space="preserve">NHG</t>
  </si>
  <si>
    <t xml:space="preserve">Kostengrens € 470.000 (€ 498.200 met verduurzaming), provisie 0,4%</t>
  </si>
  <si>
    <t xml:space="preserve">Geverifieerd, nog niet in app</t>
  </si>
  <si>
    <t xml:space="preserve">Brief kabinet 8-10-2025 via banken.nl; Tweede Kamer.</t>
  </si>
  <si>
    <t xml:space="preserve">AOW-leeftijd</t>
  </si>
  <si>
    <t xml:space="preserve">67 jaar in 2026; trigger 57 jaar</t>
  </si>
  <si>
    <t xml:space="preserve">Vanaf 2028 67 jaar en 3 maanden; trigger op geheel jaar.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</si>
</sst>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0"/>
    <numFmt numFmtId="166" formatCode="@"/>
    <numFmt numFmtId="167" formatCode="#,##0;\(#,##0\);\-"/>
    <numFmt numFmtId="168" formatCode="0.000%"/>
    <numFmt numFmtId="169" formatCode="0.00%"/>
    <numFmt numFmtId="170" formatCode="0.00"/>
    <numFmt numFmtId="171" formatCode="dd\-mm\-yyyy"/>
    <numFmt numFmtId="172" formatCode="#,##0.00;\(#,##0.00\);\-"/>
    <numFmt numFmtId="173" formatCode="0.0%"/>
    <numFmt numFmtId="174" formatCode="#,##0"/>
    <numFmt numFmtId="175" formatCode="#,##0.00"/>
    <numFmt numFmtId="176" formatCode="0.000000"/>
    <numFmt numFmtId="177" formatCode="&quot;geen grens&quot;"/>
    <numFmt numFmtId="178" formatCode="#,##0.0000;\(#,##0.0000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color rgb="FF00800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D9E2F3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D9E2F3"/>
      </patternFill>
    </fill>
    <fill>
      <patternFill patternType="solid">
        <fgColor rgb="FF1F3864"/>
        <bgColor rgb="FF333333"/>
      </patternFill>
    </fill>
    <fill>
      <patternFill patternType="solid">
        <fgColor rgb="FFFCE4D6"/>
        <bgColor rgb="FFFFF2CC"/>
      </patternFill>
    </fill>
    <fill>
      <patternFill patternType="solid">
        <fgColor rgb="FFC6EFCE"/>
        <bgColor rgb="FFE2EFDA"/>
      </patternFill>
    </fill>
    <fill>
      <patternFill patternType="solid">
        <fgColor rgb="FFFFEB9C"/>
        <bgColor rgb="FFFFF2CC"/>
      </patternFill>
    </fill>
    <fill>
      <patternFill patternType="solid">
        <fgColor rgb="FFFFC7CE"/>
        <bgColor rgb="FFFCE4D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6" fillId="4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4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Arial"/>
        <charset val="1"/>
        <family val="0"/>
        <b val="1"/>
        <color rgb="FF9C0006"/>
      </font>
    </dxf>
    <dxf>
      <font>
        <name val="Arial"/>
        <charset val="1"/>
        <family val="0"/>
        <b val="1"/>
        <color rgb="FF006100"/>
      </font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2EFDA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CE4D6"/>
      <rgbColor rgb="FFC6EFCE"/>
      <rgbColor rgb="FFFFEB9C"/>
      <rgbColor rgb="FF99CCFF"/>
      <rgbColor rgb="FFFF99CC"/>
      <rgbColor rgb="FFCC99FF"/>
      <rgbColor rgb="FFFFC7CE"/>
      <rgbColor rgb="FF4472C4"/>
      <rgbColor rgb="FF33CCCC"/>
      <rgbColor rgb="FF99CC00"/>
      <rgbColor rgb="FFFFC000"/>
      <rgbColor rgb="FFFF9900"/>
      <rgbColor rgb="FFED7D31"/>
      <rgbColor rgb="FF595959"/>
      <rgbColor rgb="FF70AD47"/>
      <rgbColor rgb="FF1F3864"/>
      <rgbColor rgb="FF339966"/>
      <rgbColor rgb="FF0061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A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3.5" hidden="false" customHeight="true" outlineLevel="0" collapsed="false">
      <c r="A4" s="3" t="s">
        <v>2</v>
      </c>
    </row>
    <row r="5" customFormat="false" ht="27.75" hidden="false" customHeight="true" outlineLevel="0" collapsed="false">
      <c r="A5" s="4" t="s">
        <v>3</v>
      </c>
    </row>
    <row r="6" customFormat="false" ht="13.5" hidden="false" customHeight="true" outlineLevel="0" collapsed="false">
      <c r="A6" s="4"/>
    </row>
    <row r="7" customFormat="false" ht="13.5" hidden="false" customHeight="true" outlineLevel="0" collapsed="false">
      <c r="A7" s="3" t="s">
        <v>4</v>
      </c>
    </row>
    <row r="8" customFormat="false" ht="13.5" hidden="false" customHeight="true" outlineLevel="0" collapsed="false">
      <c r="A8" s="4" t="s">
        <v>5</v>
      </c>
    </row>
    <row r="9" customFormat="false" ht="13.5" hidden="false" customHeight="true" outlineLevel="0" collapsed="false">
      <c r="A9" s="4" t="s">
        <v>6</v>
      </c>
    </row>
    <row r="10" customFormat="false" ht="13.5" hidden="false" customHeight="true" outlineLevel="0" collapsed="false">
      <c r="A10" s="4" t="s">
        <v>7</v>
      </c>
    </row>
    <row r="11" customFormat="false" ht="13.5" hidden="false" customHeight="true" outlineLevel="0" collapsed="false">
      <c r="A11" s="4" t="s">
        <v>8</v>
      </c>
    </row>
    <row r="12" customFormat="false" ht="13.5" hidden="false" customHeight="true" outlineLevel="0" collapsed="false">
      <c r="A12" s="4" t="s">
        <v>9</v>
      </c>
    </row>
    <row r="13" customFormat="false" ht="13.5" hidden="false" customHeight="true" outlineLevel="0" collapsed="false">
      <c r="A13" s="4" t="s">
        <v>10</v>
      </c>
    </row>
    <row r="14" customFormat="false" ht="13.5" hidden="false" customHeight="true" outlineLevel="0" collapsed="false">
      <c r="A14" s="4" t="s">
        <v>11</v>
      </c>
    </row>
    <row r="15" customFormat="false" ht="13.5" hidden="false" customHeight="true" outlineLevel="0" collapsed="false">
      <c r="A15" s="4"/>
    </row>
    <row r="16" customFormat="false" ht="13.5" hidden="false" customHeight="true" outlineLevel="0" collapsed="false">
      <c r="A16" s="3" t="s">
        <v>12</v>
      </c>
    </row>
    <row r="17" customFormat="false" ht="27.75" hidden="false" customHeight="true" outlineLevel="0" collapsed="false">
      <c r="A17" s="4" t="s">
        <v>13</v>
      </c>
    </row>
    <row r="18" customFormat="false" ht="13.5" hidden="false" customHeight="true" outlineLevel="0" collapsed="false">
      <c r="A18" s="4"/>
    </row>
    <row r="19" customFormat="false" ht="13.5" hidden="false" customHeight="true" outlineLevel="0" collapsed="false">
      <c r="A19" s="3" t="s">
        <v>14</v>
      </c>
    </row>
    <row r="20" customFormat="false" ht="27.75" hidden="false" customHeight="true" outlineLevel="0" collapsed="false">
      <c r="A20" s="4" t="s">
        <v>15</v>
      </c>
    </row>
    <row r="21" customFormat="false" ht="27.75" hidden="false" customHeight="true" outlineLevel="0" collapsed="false">
      <c r="A21" s="4" t="s">
        <v>16</v>
      </c>
    </row>
    <row r="22" customFormat="false" ht="27.75" hidden="false" customHeight="true" outlineLevel="0" collapsed="false">
      <c r="A22" s="4" t="s">
        <v>17</v>
      </c>
    </row>
    <row r="23" customFormat="false" ht="27.75" hidden="false" customHeight="true" outlineLevel="0" collapsed="false">
      <c r="A23" s="4" t="s">
        <v>18</v>
      </c>
    </row>
    <row r="24" customFormat="false" ht="42" hidden="false" customHeight="true" outlineLevel="0" collapsed="false">
      <c r="A24" s="4" t="s">
        <v>19</v>
      </c>
    </row>
    <row r="25" customFormat="false" ht="27.75" hidden="false" customHeight="true" outlineLevel="0" collapsed="false">
      <c r="A25" s="4" t="s">
        <v>20</v>
      </c>
    </row>
    <row r="26" customFormat="false" ht="13.5" hidden="false" customHeight="true" outlineLevel="0" collapsed="false">
      <c r="A26" s="4"/>
    </row>
    <row r="27" customFormat="false" ht="13.5" hidden="false" customHeight="true" outlineLevel="0" collapsed="false">
      <c r="A27" s="3" t="s">
        <v>21</v>
      </c>
    </row>
    <row r="28" customFormat="false" ht="42" hidden="false" customHeight="true" outlineLevel="0" collapsed="false">
      <c r="A28" s="4" t="s">
        <v>22</v>
      </c>
    </row>
    <row r="29" customFormat="false" ht="13.5" hidden="false" customHeight="true" outlineLevel="0" collapsed="false">
      <c r="A29" s="4"/>
    </row>
    <row r="30" customFormat="false" ht="13.5" hidden="false" customHeight="true" outlineLevel="0" collapsed="false">
      <c r="A30" s="3" t="s">
        <v>23</v>
      </c>
    </row>
    <row r="31" customFormat="false" ht="42" hidden="false" customHeight="true" outlineLevel="0" collapsed="false">
      <c r="A31" s="4" t="s">
        <v>24</v>
      </c>
    </row>
    <row r="32" customFormat="false" ht="13.5" hidden="false" customHeight="true" outlineLevel="0" collapsed="false">
      <c r="A32" s="4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true"/>
  </sheetPr>
  <dimension ref="A1:C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2"/>
    <col collapsed="false" customWidth="true" hidden="false" outlineLevel="0" max="2" min="2" style="0" width="3"/>
    <col collapsed="false" customWidth="true" hidden="false" outlineLevel="0" max="3" min="3" style="0" width="32"/>
  </cols>
  <sheetData>
    <row r="1" customFormat="false" ht="19.7" hidden="false" customHeight="false" outlineLevel="0" collapsed="false">
      <c r="A1" s="1" t="s">
        <v>26</v>
      </c>
    </row>
    <row r="2" customFormat="false" ht="15" hidden="false" customHeight="false" outlineLevel="0" collapsed="false">
      <c r="A2" s="2" t="s">
        <v>27</v>
      </c>
    </row>
    <row r="4" customFormat="false" ht="15" hidden="false" customHeight="false" outlineLevel="0" collapsed="false">
      <c r="A4" s="5" t="s">
        <v>28</v>
      </c>
      <c r="C4" s="6" t="n">
        <v>1</v>
      </c>
    </row>
    <row r="6" customFormat="false" ht="15" hidden="false" customHeight="false" outlineLevel="0" collapsed="false">
      <c r="A6" s="7" t="s">
        <v>29</v>
      </c>
      <c r="B6" s="8"/>
      <c r="C6" s="8"/>
    </row>
    <row r="7" customFormat="false" ht="15" hidden="false" customHeight="false" outlineLevel="0" collapsed="false">
      <c r="A7" s="9" t="s">
        <v>30</v>
      </c>
      <c r="C7" s="10" t="str">
        <f aca="false">INDEX(Invoer!$C$6:$M$6,$C$4)</f>
        <v>Mijn dossier</v>
      </c>
    </row>
    <row r="8" customFormat="false" ht="15" hidden="false" customHeight="false" outlineLevel="0" collapsed="false">
      <c r="A8" s="9" t="s">
        <v>31</v>
      </c>
      <c r="C8" s="10" t="str">
        <f aca="false">IF(INDEX(Berekening!$C$6:$M$6,$C$4)=1,"Doorstromer","Starter")</f>
        <v>Doorstromer</v>
      </c>
    </row>
    <row r="9" customFormat="false" ht="15" hidden="false" customHeight="false" outlineLevel="0" collapsed="false">
      <c r="A9" s="7" t="s">
        <v>32</v>
      </c>
      <c r="B9" s="8"/>
      <c r="C9" s="8"/>
    </row>
    <row r="10" customFormat="false" ht="15" hidden="false" customHeight="false" outlineLevel="0" collapsed="false">
      <c r="A10" s="9" t="s">
        <v>33</v>
      </c>
      <c r="C10" s="11" t="n">
        <f aca="false">INDEX(Berekening!$C$83:$M$83,$C$4)</f>
        <v>1056874.46685809</v>
      </c>
    </row>
    <row r="11" customFormat="false" ht="15" hidden="false" customHeight="false" outlineLevel="0" collapsed="false">
      <c r="A11" s="9" t="s">
        <v>34</v>
      </c>
      <c r="C11" s="11" t="n">
        <f aca="false">-MIN(INDEX(Berekening!$C$18:$M$18,$C$4)*INDEX(Berekening!$C$11:$M$11,$C$4),INDEX(Berekening!$C$83:$M$83,$C$4))</f>
        <v>-37286.0696256435</v>
      </c>
    </row>
    <row r="12" customFormat="false" ht="15" hidden="false" customHeight="false" outlineLevel="0" collapsed="false">
      <c r="A12" s="9" t="s">
        <v>35</v>
      </c>
      <c r="C12" s="11" t="n">
        <f aca="false">-MIN(INDEX(Berekening!$C$75:$M$75,$C$4),INDEX(Berekening!$C$84:$M$84,$C$4))</f>
        <v>-80110.1194056814</v>
      </c>
    </row>
    <row r="13" customFormat="false" ht="15" hidden="false" customHeight="false" outlineLevel="0" collapsed="false">
      <c r="A13" s="9" t="s">
        <v>36</v>
      </c>
      <c r="C13" s="11" t="n">
        <f aca="false">C17-(C10+C11+C12+C14+C15+C16)</f>
        <v>0</v>
      </c>
    </row>
    <row r="14" customFormat="false" ht="15" hidden="false" customHeight="false" outlineLevel="0" collapsed="false">
      <c r="A14" s="9" t="s">
        <v>37</v>
      </c>
      <c r="C14" s="11" t="n">
        <f aca="false">INDEX(Berekening!$C$100:$M$100,$C$4)-INDEX(Berekening!$C$85:$M$85,$C$4)</f>
        <v>0</v>
      </c>
    </row>
    <row r="15" customFormat="false" ht="15" hidden="false" customHeight="false" outlineLevel="0" collapsed="false">
      <c r="A15" s="9" t="s">
        <v>38</v>
      </c>
      <c r="C15" s="11" t="n">
        <f aca="false">INDEX(Berekening!$C$87:$M$87,$C$4)</f>
        <v>10000</v>
      </c>
    </row>
    <row r="16" customFormat="false" ht="15" hidden="false" customHeight="false" outlineLevel="0" collapsed="false">
      <c r="A16" s="9" t="s">
        <v>39</v>
      </c>
      <c r="C16" s="11" t="n">
        <f aca="false">INDEX(Berekening!$C$86:$M$86,$C$4)</f>
        <v>0</v>
      </c>
    </row>
    <row r="17" customFormat="false" ht="15" hidden="false" customHeight="false" outlineLevel="0" collapsed="false">
      <c r="A17" s="5" t="s">
        <v>40</v>
      </c>
      <c r="C17" s="12" t="n">
        <f aca="false">INDEX(Berekening!$C$101:$M$101,$C$4)</f>
        <v>949478.277826761</v>
      </c>
    </row>
    <row r="18" customFormat="false" ht="15" hidden="false" customHeight="false" outlineLevel="0" collapsed="false">
      <c r="A18" s="9" t="s">
        <v>41</v>
      </c>
      <c r="C18" s="11" t="n">
        <f aca="false">-IF(INDEX(Berekening!$C$47:$M$47,$C$4)=1,INDEX(Berekening!$C$44:$M$44,$C$4)*INDEX(Berekening!$C$11:$M$11,$C$4),0)</f>
        <v>-555976.311549913</v>
      </c>
    </row>
    <row r="19" customFormat="false" ht="15" hidden="false" customHeight="false" outlineLevel="0" collapsed="false">
      <c r="A19" s="9" t="s">
        <v>42</v>
      </c>
      <c r="C19" s="11" t="n">
        <f aca="false">C20-(C17+C18)</f>
        <v>-65149.7959022105</v>
      </c>
    </row>
    <row r="20" customFormat="false" ht="15" hidden="false" customHeight="false" outlineLevel="0" collapsed="false">
      <c r="A20" s="5" t="s">
        <v>43</v>
      </c>
      <c r="C20" s="12" t="n">
        <f aca="false">INDEX(Berekening!$C$105:$M$105,$C$4)</f>
        <v>328352.170374638</v>
      </c>
    </row>
    <row r="21" customFormat="false" ht="15" hidden="false" customHeight="false" outlineLevel="0" collapsed="false">
      <c r="A21" s="9" t="s">
        <v>44</v>
      </c>
      <c r="C21" s="11" t="n">
        <f aca="false">C22-C20</f>
        <v>0</v>
      </c>
    </row>
    <row r="22" customFormat="false" ht="15" hidden="false" customHeight="false" outlineLevel="0" collapsed="false">
      <c r="A22" s="5" t="s">
        <v>45</v>
      </c>
      <c r="C22" s="12" t="n">
        <f aca="false">INDEX(Berekening!$C$118:$M$118,$C$4)</f>
        <v>328352.170374638</v>
      </c>
    </row>
    <row r="23" customFormat="false" ht="15" hidden="false" customHeight="false" outlineLevel="0" collapsed="false">
      <c r="A23" s="7" t="s">
        <v>46</v>
      </c>
      <c r="B23" s="8"/>
      <c r="C23" s="8"/>
    </row>
    <row r="24" customFormat="false" ht="15" hidden="false" customHeight="false" outlineLevel="0" collapsed="false">
      <c r="A24" s="5" t="s">
        <v>47</v>
      </c>
      <c r="C24" s="12" t="n">
        <f aca="false">INDEX(Berekening!$C$117:$M$117,$C$4)</f>
        <v>952102.080374638</v>
      </c>
    </row>
    <row r="25" customFormat="false" ht="15" hidden="false" customHeight="false" outlineLevel="0" collapsed="false">
      <c r="A25" s="9" t="s">
        <v>48</v>
      </c>
      <c r="C25" s="11" t="n">
        <f aca="false">INDEX(Berekening!$C$43:$M$43,$C$4)</f>
        <v>623749.91</v>
      </c>
    </row>
    <row r="26" customFormat="false" ht="15" hidden="false" customHeight="false" outlineLevel="0" collapsed="false">
      <c r="A26" s="5" t="s">
        <v>49</v>
      </c>
      <c r="C26" s="12" t="n">
        <f aca="false">INDEX(Berekening!$C$119:$M$119,$C$4)</f>
        <v>323980</v>
      </c>
    </row>
    <row r="27" customFormat="false" ht="15" hidden="false" customHeight="false" outlineLevel="0" collapsed="false">
      <c r="A27" s="5" t="s">
        <v>50</v>
      </c>
      <c r="C27" s="12" t="n">
        <f aca="false">INDEX(Berekening!$C$120:$M$120,$C$4)</f>
        <v>4372.1703746377</v>
      </c>
    </row>
    <row r="28" customFormat="false" ht="15" hidden="false" customHeight="false" outlineLevel="0" collapsed="false">
      <c r="A28" s="5" t="s">
        <v>51</v>
      </c>
      <c r="C28" s="13" t="str">
        <f aca="false">IF(INDEX(Berekening!$C$122:$M$122,$C$4)=1,"Ja, deze woning past","Nee, deze woning past nog niet")</f>
        <v>Ja, deze woning past</v>
      </c>
    </row>
    <row r="29" customFormat="false" ht="15" hidden="false" customHeight="false" outlineLevel="0" collapsed="false">
      <c r="A29" s="7" t="s">
        <v>52</v>
      </c>
      <c r="B29" s="8"/>
      <c r="C29" s="8"/>
    </row>
    <row r="30" customFormat="false" ht="15" hidden="false" customHeight="false" outlineLevel="0" collapsed="false">
      <c r="A30" s="9" t="s">
        <v>53</v>
      </c>
      <c r="C30" s="11" t="n">
        <f aca="false">INDEX(Berekening!$C$9:$M$9,$C$4)</f>
        <v>225000</v>
      </c>
    </row>
    <row r="31" customFormat="false" ht="15" hidden="false" customHeight="false" outlineLevel="0" collapsed="false">
      <c r="A31" s="9" t="s">
        <v>54</v>
      </c>
      <c r="C31" s="14" t="n">
        <f aca="false">INDEX(Berekening!$C$10:$M$10,$C$4)</f>
        <v>0.0469</v>
      </c>
    </row>
    <row r="32" customFormat="false" ht="15" hidden="false" customHeight="false" outlineLevel="0" collapsed="false">
      <c r="A32" s="9" t="s">
        <v>55</v>
      </c>
      <c r="C32" s="15" t="n">
        <f aca="false">INDEX(Berekening!$C$81:$M$81,$C$4)</f>
        <v>0.292</v>
      </c>
    </row>
    <row r="33" customFormat="false" ht="15" hidden="false" customHeight="false" outlineLevel="0" collapsed="false">
      <c r="A33" s="9" t="s">
        <v>56</v>
      </c>
      <c r="C33" s="14" t="n">
        <f aca="false">INDEX(Berekening!$C$107:$M$107,$C$4)</f>
        <v>0.036487603997058</v>
      </c>
    </row>
    <row r="34" customFormat="false" ht="15" hidden="false" customHeight="false" outlineLevel="0" collapsed="false">
      <c r="A34" s="9" t="s">
        <v>57</v>
      </c>
      <c r="C34" s="16" t="n">
        <f aca="false">INDEX(Berekening!$C$71:$M$71,$C$4)</f>
        <v>1.25</v>
      </c>
    </row>
    <row r="35" customFormat="false" ht="15" hidden="false" customHeight="false" outlineLevel="0" collapsed="false">
      <c r="A35" s="9" t="s">
        <v>58</v>
      </c>
      <c r="C35" s="11" t="n">
        <f aca="false">INDEX(Berekening!$C$56:$M$56,$C$4)</f>
        <v>32230</v>
      </c>
    </row>
    <row r="36" customFormat="false" ht="15" hidden="false" customHeight="false" outlineLevel="0" collapsed="false">
      <c r="A36" s="9" t="s">
        <v>59</v>
      </c>
      <c r="C36" s="11" t="n">
        <f aca="false">INDEX(Berekening!$C$123:$M$123,$C$4)</f>
        <v>4372.1703746377</v>
      </c>
    </row>
  </sheetData>
  <conditionalFormatting sqref="C27">
    <cfRule type="cellIs" priority="2" operator="lessThan" aboveAverage="0" equalAverage="0" bottom="0" percent="0" rank="0" text="" dxfId="0">
      <formula>0</formula>
    </cfRule>
    <cfRule type="cellIs" priority="3" operator="greaterThanOrEqual" aboveAverage="0" equalAverage="0" bottom="0" percent="0" rank="0" text="" dxfId="1">
      <formula>0</formula>
    </cfRule>
  </conditionalFormatting>
  <dataValidations count="1">
    <dataValidation allowBlank="false" errorStyle="stop" operator="between" showDropDown="false" showErrorMessage="false" showInputMessage="false" sqref="C4" type="whole">
      <formula1>1</formula1>
      <formula2>11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true"/>
  </sheetPr>
  <dimension ref="A1:M7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4"/>
    <col collapsed="false" customWidth="true" hidden="false" outlineLevel="0" max="13" min="3" style="0" width="17"/>
  </cols>
  <sheetData>
    <row r="1" customFormat="false" ht="19.7" hidden="false" customHeight="false" outlineLevel="0" collapsed="false">
      <c r="A1" s="1" t="s">
        <v>60</v>
      </c>
    </row>
    <row r="2" customFormat="false" ht="15" hidden="false" customHeight="false" outlineLevel="0" collapsed="false">
      <c r="A2" s="2" t="s">
        <v>61</v>
      </c>
    </row>
    <row r="4" customFormat="false" ht="18" hidden="false" customHeight="true" outlineLevel="0" collapsed="false">
      <c r="A4" s="17" t="s">
        <v>29</v>
      </c>
      <c r="B4" s="17" t="s">
        <v>62</v>
      </c>
      <c r="C4" s="18" t="n">
        <v>1</v>
      </c>
      <c r="D4" s="18" t="n">
        <v>2</v>
      </c>
      <c r="E4" s="18" t="n">
        <v>3</v>
      </c>
      <c r="F4" s="18" t="n">
        <v>4</v>
      </c>
      <c r="G4" s="18" t="n">
        <v>5</v>
      </c>
      <c r="H4" s="18" t="n">
        <v>6</v>
      </c>
      <c r="I4" s="18" t="n">
        <v>7</v>
      </c>
      <c r="J4" s="18" t="n">
        <v>8</v>
      </c>
      <c r="K4" s="18" t="n">
        <v>9</v>
      </c>
      <c r="L4" s="18" t="n">
        <v>10</v>
      </c>
      <c r="M4" s="18" t="n">
        <v>11</v>
      </c>
    </row>
    <row r="5" customFormat="false" ht="15" hidden="false" customHeight="false" outlineLevel="0" collapsed="false">
      <c r="A5" s="7" t="s">
        <v>63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</row>
    <row r="6" customFormat="false" ht="42" hidden="false" customHeight="true" outlineLevel="0" collapsed="false">
      <c r="A6" s="9" t="s">
        <v>64</v>
      </c>
      <c r="B6" s="19"/>
      <c r="C6" s="20" t="s">
        <v>65</v>
      </c>
      <c r="D6" s="20" t="s">
        <v>66</v>
      </c>
      <c r="E6" s="20" t="s">
        <v>67</v>
      </c>
      <c r="F6" s="20" t="s">
        <v>68</v>
      </c>
      <c r="G6" s="20" t="s">
        <v>69</v>
      </c>
      <c r="H6" s="20" t="s">
        <v>70</v>
      </c>
      <c r="I6" s="20" t="s">
        <v>71</v>
      </c>
      <c r="J6" s="20" t="s">
        <v>72</v>
      </c>
      <c r="K6" s="20" t="s">
        <v>73</v>
      </c>
      <c r="L6" s="20" t="s">
        <v>74</v>
      </c>
      <c r="M6" s="20" t="s">
        <v>75</v>
      </c>
    </row>
    <row r="7" customFormat="false" ht="15" hidden="false" customHeight="false" outlineLevel="0" collapsed="false">
      <c r="A7" s="9" t="s">
        <v>76</v>
      </c>
      <c r="B7" s="19" t="s">
        <v>77</v>
      </c>
      <c r="C7" s="21" t="s">
        <v>78</v>
      </c>
      <c r="D7" s="21" t="s">
        <v>78</v>
      </c>
      <c r="E7" s="21" t="s">
        <v>78</v>
      </c>
      <c r="F7" s="21" t="s">
        <v>78</v>
      </c>
      <c r="G7" s="21" t="s">
        <v>79</v>
      </c>
      <c r="H7" s="21" t="s">
        <v>79</v>
      </c>
      <c r="I7" s="21" t="s">
        <v>78</v>
      </c>
      <c r="J7" s="21" t="s">
        <v>78</v>
      </c>
      <c r="K7" s="21" t="s">
        <v>78</v>
      </c>
      <c r="L7" s="21" t="s">
        <v>78</v>
      </c>
      <c r="M7" s="21" t="s">
        <v>78</v>
      </c>
    </row>
    <row r="8" customFormat="false" ht="15" hidden="false" customHeight="false" outlineLevel="0" collapsed="false">
      <c r="A8" s="9" t="s">
        <v>80</v>
      </c>
      <c r="B8" s="19" t="s">
        <v>77</v>
      </c>
      <c r="C8" s="21" t="s">
        <v>78</v>
      </c>
      <c r="D8" s="21" t="s">
        <v>78</v>
      </c>
      <c r="E8" s="21" t="s">
        <v>78</v>
      </c>
      <c r="F8" s="21" t="s">
        <v>78</v>
      </c>
      <c r="G8" s="21" t="s">
        <v>79</v>
      </c>
      <c r="H8" s="21" t="s">
        <v>78</v>
      </c>
      <c r="I8" s="21" t="s">
        <v>78</v>
      </c>
      <c r="J8" s="21" t="s">
        <v>78</v>
      </c>
      <c r="K8" s="21" t="s">
        <v>78</v>
      </c>
      <c r="L8" s="21" t="s">
        <v>78</v>
      </c>
      <c r="M8" s="21" t="s">
        <v>78</v>
      </c>
    </row>
    <row r="9" customFormat="false" ht="15" hidden="false" customHeight="false" outlineLevel="0" collapsed="false">
      <c r="A9" s="7" t="s">
        <v>81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</row>
    <row r="10" customFormat="false" ht="15" hidden="false" customHeight="false" outlineLevel="0" collapsed="false">
      <c r="A10" s="9" t="s">
        <v>82</v>
      </c>
      <c r="B10" s="19" t="s">
        <v>83</v>
      </c>
      <c r="C10" s="22" t="n">
        <v>118000</v>
      </c>
      <c r="D10" s="22" t="n">
        <v>118000</v>
      </c>
      <c r="E10" s="22" t="n">
        <v>118000</v>
      </c>
      <c r="F10" s="22" t="n">
        <v>118000</v>
      </c>
      <c r="G10" s="22" t="n">
        <v>60000</v>
      </c>
      <c r="H10" s="22" t="n">
        <v>80000</v>
      </c>
      <c r="I10" s="22" t="n">
        <v>118000</v>
      </c>
      <c r="J10" s="22" t="n">
        <v>118000</v>
      </c>
      <c r="K10" s="22" t="n">
        <v>118000</v>
      </c>
      <c r="L10" s="22" t="n">
        <v>118000</v>
      </c>
      <c r="M10" s="22" t="n">
        <v>118000</v>
      </c>
    </row>
    <row r="11" customFormat="false" ht="15" hidden="false" customHeight="false" outlineLevel="0" collapsed="false">
      <c r="A11" s="9" t="s">
        <v>84</v>
      </c>
      <c r="B11" s="19" t="s">
        <v>83</v>
      </c>
      <c r="C11" s="22" t="n">
        <v>107000</v>
      </c>
      <c r="D11" s="22" t="n">
        <v>107000</v>
      </c>
      <c r="E11" s="22" t="n">
        <v>107000</v>
      </c>
      <c r="F11" s="22" t="n">
        <v>107000</v>
      </c>
      <c r="G11" s="22" t="n">
        <v>0</v>
      </c>
      <c r="H11" s="22" t="n">
        <v>70000</v>
      </c>
      <c r="I11" s="22" t="n">
        <v>107000</v>
      </c>
      <c r="J11" s="22" t="n">
        <v>107000</v>
      </c>
      <c r="K11" s="22" t="n">
        <v>107000</v>
      </c>
      <c r="L11" s="22" t="n">
        <v>107000</v>
      </c>
      <c r="M11" s="22" t="n">
        <v>107000</v>
      </c>
    </row>
    <row r="12" customFormat="false" ht="15" hidden="false" customHeight="false" outlineLevel="0" collapsed="false">
      <c r="A12" s="9" t="s">
        <v>85</v>
      </c>
      <c r="B12" s="19" t="s">
        <v>86</v>
      </c>
      <c r="C12" s="23" t="n">
        <v>36</v>
      </c>
      <c r="D12" s="23" t="n">
        <v>36</v>
      </c>
      <c r="E12" s="23" t="n">
        <v>36</v>
      </c>
      <c r="F12" s="23" t="n">
        <v>36</v>
      </c>
      <c r="G12" s="23" t="n">
        <v>30</v>
      </c>
      <c r="H12" s="23" t="n">
        <v>31</v>
      </c>
      <c r="I12" s="23" t="n">
        <v>36</v>
      </c>
      <c r="J12" s="23" t="n">
        <v>60</v>
      </c>
      <c r="K12" s="23" t="n">
        <v>36</v>
      </c>
      <c r="L12" s="23" t="n">
        <v>36</v>
      </c>
      <c r="M12" s="23" t="n">
        <v>36</v>
      </c>
    </row>
    <row r="13" customFormat="false" ht="15" hidden="false" customHeight="false" outlineLevel="0" collapsed="false">
      <c r="A13" s="9" t="s">
        <v>87</v>
      </c>
      <c r="B13" s="19" t="s">
        <v>86</v>
      </c>
      <c r="C13" s="23" t="n">
        <v>36</v>
      </c>
      <c r="D13" s="23" t="n">
        <v>36</v>
      </c>
      <c r="E13" s="23" t="n">
        <v>36</v>
      </c>
      <c r="F13" s="23" t="n">
        <v>36</v>
      </c>
      <c r="G13" s="23" t="n">
        <v>36</v>
      </c>
      <c r="H13" s="23" t="n">
        <v>29</v>
      </c>
      <c r="I13" s="23" t="n">
        <v>36</v>
      </c>
      <c r="J13" s="23" t="n">
        <v>36</v>
      </c>
      <c r="K13" s="23" t="n">
        <v>36</v>
      </c>
      <c r="L13" s="23" t="n">
        <v>36</v>
      </c>
      <c r="M13" s="23" t="n">
        <v>36</v>
      </c>
    </row>
    <row r="14" customFormat="false" ht="15" hidden="false" customHeight="false" outlineLevel="0" collapsed="false">
      <c r="A14" s="9" t="s">
        <v>88</v>
      </c>
      <c r="B14" s="19" t="s">
        <v>83</v>
      </c>
      <c r="C14" s="22" t="n">
        <v>0</v>
      </c>
      <c r="D14" s="22" t="n">
        <v>0</v>
      </c>
      <c r="E14" s="22" t="n">
        <v>0</v>
      </c>
      <c r="F14" s="22" t="n">
        <v>0</v>
      </c>
      <c r="G14" s="22" t="n">
        <v>0</v>
      </c>
      <c r="H14" s="22" t="n">
        <v>0</v>
      </c>
      <c r="I14" s="22" t="n">
        <v>0</v>
      </c>
      <c r="J14" s="22" t="n">
        <v>40000</v>
      </c>
      <c r="K14" s="22" t="n">
        <v>0</v>
      </c>
      <c r="L14" s="22" t="n">
        <v>0</v>
      </c>
      <c r="M14" s="22" t="n">
        <v>0</v>
      </c>
    </row>
    <row r="15" customFormat="false" ht="15" hidden="false" customHeight="false" outlineLevel="0" collapsed="false">
      <c r="A15" s="9" t="s">
        <v>89</v>
      </c>
      <c r="B15" s="19" t="s">
        <v>83</v>
      </c>
      <c r="C15" s="22" t="n">
        <v>0</v>
      </c>
      <c r="D15" s="22" t="n">
        <v>0</v>
      </c>
      <c r="E15" s="22" t="n">
        <v>0</v>
      </c>
      <c r="F15" s="22" t="n">
        <v>0</v>
      </c>
      <c r="G15" s="22" t="n">
        <v>0</v>
      </c>
      <c r="H15" s="22" t="n">
        <v>0</v>
      </c>
      <c r="I15" s="22" t="n">
        <v>0</v>
      </c>
      <c r="J15" s="22" t="n">
        <v>0</v>
      </c>
      <c r="K15" s="22" t="n">
        <v>0</v>
      </c>
      <c r="L15" s="22" t="n">
        <v>0</v>
      </c>
      <c r="M15" s="22" t="n">
        <v>0</v>
      </c>
    </row>
    <row r="16" customFormat="false" ht="15" hidden="false" customHeight="false" outlineLevel="0" collapsed="false">
      <c r="A16" s="9" t="s">
        <v>90</v>
      </c>
      <c r="B16" s="19" t="s">
        <v>91</v>
      </c>
      <c r="C16" s="21" t="s">
        <v>92</v>
      </c>
      <c r="D16" s="21" t="s">
        <v>92</v>
      </c>
      <c r="E16" s="21" t="s">
        <v>92</v>
      </c>
      <c r="F16" s="21" t="s">
        <v>92</v>
      </c>
      <c r="G16" s="21" t="s">
        <v>93</v>
      </c>
      <c r="H16" s="21" t="s">
        <v>94</v>
      </c>
      <c r="I16" s="21" t="s">
        <v>92</v>
      </c>
      <c r="J16" s="21" t="s">
        <v>92</v>
      </c>
      <c r="K16" s="21" t="s">
        <v>95</v>
      </c>
      <c r="L16" s="21" t="s">
        <v>92</v>
      </c>
      <c r="M16" s="21" t="s">
        <v>92</v>
      </c>
    </row>
    <row r="17" customFormat="false" ht="15" hidden="false" customHeight="false" outlineLevel="0" collapsed="false">
      <c r="A17" s="7" t="s">
        <v>96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</row>
    <row r="18" customFormat="false" ht="15" hidden="false" customHeight="false" outlineLevel="0" collapsed="false">
      <c r="A18" s="9" t="s">
        <v>97</v>
      </c>
      <c r="B18" s="19" t="s">
        <v>98</v>
      </c>
      <c r="C18" s="24" t="n">
        <v>0.0469</v>
      </c>
      <c r="D18" s="24" t="n">
        <v>0.0469</v>
      </c>
      <c r="E18" s="24" t="n">
        <v>0.0469</v>
      </c>
      <c r="F18" s="24" t="n">
        <v>0.0469</v>
      </c>
      <c r="G18" s="24" t="n">
        <v>0.0469</v>
      </c>
      <c r="H18" s="24" t="n">
        <v>0.0469</v>
      </c>
      <c r="I18" s="24" t="n">
        <v>0.0469</v>
      </c>
      <c r="J18" s="24" t="n">
        <v>0.0469</v>
      </c>
      <c r="K18" s="24" t="n">
        <v>0.0469</v>
      </c>
      <c r="L18" s="24" t="n">
        <v>0.0469</v>
      </c>
      <c r="M18" s="24" t="n">
        <v>0.0469</v>
      </c>
    </row>
    <row r="19" customFormat="false" ht="15" hidden="false" customHeight="false" outlineLevel="0" collapsed="false">
      <c r="A19" s="9" t="s">
        <v>99</v>
      </c>
      <c r="B19" s="19" t="s">
        <v>86</v>
      </c>
      <c r="C19" s="23" t="n">
        <v>10</v>
      </c>
      <c r="D19" s="23" t="n">
        <v>10</v>
      </c>
      <c r="E19" s="23" t="n">
        <v>10</v>
      </c>
      <c r="F19" s="23" t="n">
        <v>5</v>
      </c>
      <c r="G19" s="23" t="n">
        <v>10</v>
      </c>
      <c r="H19" s="23" t="n">
        <v>10</v>
      </c>
      <c r="I19" s="23" t="n">
        <v>10</v>
      </c>
      <c r="J19" s="23" t="n">
        <v>10</v>
      </c>
      <c r="K19" s="23" t="n">
        <v>10</v>
      </c>
      <c r="L19" s="23" t="n">
        <v>10</v>
      </c>
      <c r="M19" s="23" t="n">
        <v>10</v>
      </c>
    </row>
    <row r="20" customFormat="false" ht="15" hidden="false" customHeight="false" outlineLevel="0" collapsed="false">
      <c r="A20" s="9" t="s">
        <v>100</v>
      </c>
      <c r="B20" s="19" t="s">
        <v>101</v>
      </c>
      <c r="C20" s="22" t="n">
        <v>1330000</v>
      </c>
      <c r="D20" s="22" t="n">
        <v>1330000</v>
      </c>
      <c r="E20" s="22" t="n">
        <v>1330000</v>
      </c>
      <c r="F20" s="22" t="n">
        <v>1330000</v>
      </c>
      <c r="G20" s="22" t="n">
        <v>400000</v>
      </c>
      <c r="H20" s="22" t="n">
        <v>650000</v>
      </c>
      <c r="I20" s="22" t="n">
        <v>1330000</v>
      </c>
      <c r="J20" s="22" t="n">
        <v>1330000</v>
      </c>
      <c r="K20" s="22" t="n">
        <v>1100000</v>
      </c>
      <c r="L20" s="22" t="n">
        <v>1330000</v>
      </c>
      <c r="M20" s="22" t="n">
        <v>1330000</v>
      </c>
    </row>
    <row r="21" customFormat="false" ht="15" hidden="false" customHeight="false" outlineLevel="0" collapsed="false">
      <c r="A21" s="9" t="s">
        <v>102</v>
      </c>
      <c r="B21" s="19" t="s">
        <v>101</v>
      </c>
      <c r="C21" s="22" t="n">
        <v>1000000</v>
      </c>
      <c r="D21" s="22" t="n">
        <v>1500000</v>
      </c>
      <c r="E21" s="22" t="n">
        <v>1000000</v>
      </c>
      <c r="F21" s="22" t="n">
        <v>1000000</v>
      </c>
      <c r="G21" s="22" t="n">
        <v>1000000</v>
      </c>
      <c r="H21" s="22" t="n">
        <v>1000000</v>
      </c>
      <c r="I21" s="22" t="n">
        <v>1000000</v>
      </c>
      <c r="J21" s="22" t="n">
        <v>1000000</v>
      </c>
      <c r="K21" s="22" t="n">
        <v>1000000</v>
      </c>
      <c r="L21" s="22" t="n">
        <v>1000000</v>
      </c>
      <c r="M21" s="22" t="n">
        <v>1000000</v>
      </c>
    </row>
    <row r="22" customFormat="false" ht="15" hidden="false" customHeight="false" outlineLevel="0" collapsed="false">
      <c r="A22" s="7" t="s">
        <v>103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</row>
    <row r="23" customFormat="false" ht="15" hidden="false" customHeight="false" outlineLevel="0" collapsed="false">
      <c r="A23" s="9" t="s">
        <v>104</v>
      </c>
      <c r="B23" s="19" t="s">
        <v>101</v>
      </c>
      <c r="C23" s="22" t="n">
        <v>0</v>
      </c>
      <c r="D23" s="22" t="n">
        <v>0</v>
      </c>
      <c r="E23" s="22" t="n">
        <v>0</v>
      </c>
      <c r="F23" s="22" t="n">
        <v>0</v>
      </c>
      <c r="G23" s="22" t="n">
        <v>0</v>
      </c>
      <c r="H23" s="22" t="n">
        <v>0</v>
      </c>
      <c r="I23" s="22" t="n">
        <v>0</v>
      </c>
      <c r="J23" s="22" t="n">
        <v>0</v>
      </c>
      <c r="K23" s="22" t="n">
        <v>15000</v>
      </c>
      <c r="L23" s="22" t="n">
        <v>3000000</v>
      </c>
      <c r="M23" s="22" t="n">
        <v>0</v>
      </c>
    </row>
    <row r="24" customFormat="false" ht="15" hidden="false" customHeight="false" outlineLevel="0" collapsed="false">
      <c r="A24" s="9" t="s">
        <v>105</v>
      </c>
      <c r="B24" s="19" t="s">
        <v>101</v>
      </c>
      <c r="C24" s="22" t="n">
        <v>0</v>
      </c>
      <c r="D24" s="22" t="n">
        <v>0</v>
      </c>
      <c r="E24" s="22" t="n">
        <v>0</v>
      </c>
      <c r="F24" s="22" t="n">
        <v>0</v>
      </c>
      <c r="G24" s="22" t="n">
        <v>0</v>
      </c>
      <c r="H24" s="22" t="n">
        <v>0</v>
      </c>
      <c r="I24" s="22" t="n">
        <v>0</v>
      </c>
      <c r="J24" s="22" t="n">
        <v>0</v>
      </c>
      <c r="K24" s="22" t="n">
        <v>8000</v>
      </c>
      <c r="L24" s="22" t="n">
        <v>0</v>
      </c>
      <c r="M24" s="22" t="n">
        <v>0</v>
      </c>
    </row>
    <row r="25" customFormat="false" ht="15" hidden="false" customHeight="false" outlineLevel="0" collapsed="false">
      <c r="A25" s="9" t="s">
        <v>106</v>
      </c>
      <c r="B25" s="19" t="s">
        <v>107</v>
      </c>
      <c r="C25" s="22" t="n">
        <v>0</v>
      </c>
      <c r="D25" s="22" t="n">
        <v>0</v>
      </c>
      <c r="E25" s="22" t="n">
        <v>0</v>
      </c>
      <c r="F25" s="22" t="n">
        <v>0</v>
      </c>
      <c r="G25" s="22" t="n">
        <v>0</v>
      </c>
      <c r="H25" s="22" t="n">
        <v>0</v>
      </c>
      <c r="I25" s="22" t="n">
        <v>0</v>
      </c>
      <c r="J25" s="22" t="n">
        <v>0</v>
      </c>
      <c r="K25" s="22" t="n">
        <v>250</v>
      </c>
      <c r="L25" s="22" t="n">
        <v>0</v>
      </c>
      <c r="M25" s="22" t="n">
        <v>0</v>
      </c>
    </row>
    <row r="26" customFormat="false" ht="15" hidden="false" customHeight="false" outlineLevel="0" collapsed="false">
      <c r="A26" s="9" t="s">
        <v>108</v>
      </c>
      <c r="B26" s="19" t="s">
        <v>107</v>
      </c>
      <c r="C26" s="22" t="n">
        <v>332</v>
      </c>
      <c r="D26" s="22" t="n">
        <v>332</v>
      </c>
      <c r="E26" s="22" t="n">
        <v>332</v>
      </c>
      <c r="F26" s="22" t="n">
        <v>332</v>
      </c>
      <c r="G26" s="22" t="n">
        <v>0</v>
      </c>
      <c r="H26" s="22" t="n">
        <v>120</v>
      </c>
      <c r="I26" s="22" t="n">
        <v>332</v>
      </c>
      <c r="J26" s="22" t="n">
        <v>332</v>
      </c>
      <c r="K26" s="22" t="n">
        <v>332</v>
      </c>
      <c r="L26" s="22" t="n">
        <v>332</v>
      </c>
      <c r="M26" s="22" t="n">
        <v>332</v>
      </c>
    </row>
    <row r="27" customFormat="false" ht="15" hidden="false" customHeight="false" outlineLevel="0" collapsed="false">
      <c r="A27" s="9" t="s">
        <v>109</v>
      </c>
      <c r="B27" s="19" t="s">
        <v>110</v>
      </c>
      <c r="C27" s="21" t="s">
        <v>111</v>
      </c>
      <c r="D27" s="21" t="s">
        <v>111</v>
      </c>
      <c r="E27" s="21" t="s">
        <v>111</v>
      </c>
      <c r="F27" s="21" t="s">
        <v>111</v>
      </c>
      <c r="G27" s="21" t="s">
        <v>111</v>
      </c>
      <c r="H27" s="21" t="s">
        <v>111</v>
      </c>
      <c r="I27" s="21" t="s">
        <v>111</v>
      </c>
      <c r="J27" s="21" t="s">
        <v>111</v>
      </c>
      <c r="K27" s="21" t="s">
        <v>112</v>
      </c>
      <c r="L27" s="21" t="s">
        <v>111</v>
      </c>
      <c r="M27" s="21" t="s">
        <v>111</v>
      </c>
    </row>
    <row r="28" customFormat="false" ht="15" hidden="false" customHeight="false" outlineLevel="0" collapsed="false">
      <c r="A28" s="9" t="s">
        <v>113</v>
      </c>
      <c r="B28" s="19" t="s">
        <v>110</v>
      </c>
      <c r="C28" s="21" t="s">
        <v>114</v>
      </c>
      <c r="D28" s="21" t="s">
        <v>114</v>
      </c>
      <c r="E28" s="21" t="s">
        <v>114</v>
      </c>
      <c r="F28" s="21" t="s">
        <v>114</v>
      </c>
      <c r="G28" s="21" t="s">
        <v>114</v>
      </c>
      <c r="H28" s="21" t="s">
        <v>115</v>
      </c>
      <c r="I28" s="21" t="s">
        <v>114</v>
      </c>
      <c r="J28" s="21" t="s">
        <v>114</v>
      </c>
      <c r="K28" s="21" t="s">
        <v>114</v>
      </c>
      <c r="L28" s="21" t="s">
        <v>114</v>
      </c>
      <c r="M28" s="21" t="s">
        <v>114</v>
      </c>
    </row>
    <row r="29" customFormat="false" ht="15" hidden="false" customHeight="false" outlineLevel="0" collapsed="false">
      <c r="A29" s="7" t="s">
        <v>116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</row>
    <row r="30" customFormat="false" ht="15" hidden="false" customHeight="false" outlineLevel="0" collapsed="false">
      <c r="A30" s="9" t="s">
        <v>117</v>
      </c>
      <c r="B30" s="19" t="s">
        <v>77</v>
      </c>
      <c r="C30" s="21" t="s">
        <v>78</v>
      </c>
      <c r="D30" s="21" t="s">
        <v>78</v>
      </c>
      <c r="E30" s="21" t="s">
        <v>78</v>
      </c>
      <c r="F30" s="21" t="s">
        <v>78</v>
      </c>
      <c r="G30" s="21" t="s">
        <v>79</v>
      </c>
      <c r="H30" s="21" t="s">
        <v>79</v>
      </c>
      <c r="I30" s="21" t="s">
        <v>78</v>
      </c>
      <c r="J30" s="21" t="s">
        <v>79</v>
      </c>
      <c r="K30" s="21" t="s">
        <v>78</v>
      </c>
      <c r="L30" s="21" t="s">
        <v>79</v>
      </c>
      <c r="M30" s="21" t="s">
        <v>78</v>
      </c>
    </row>
    <row r="31" customFormat="false" ht="15" hidden="false" customHeight="false" outlineLevel="0" collapsed="false">
      <c r="A31" s="9" t="s">
        <v>118</v>
      </c>
      <c r="B31" s="19" t="s">
        <v>101</v>
      </c>
      <c r="C31" s="22" t="n">
        <v>42000</v>
      </c>
      <c r="D31" s="22" t="n">
        <v>42000</v>
      </c>
      <c r="E31" s="22" t="n">
        <v>42000</v>
      </c>
      <c r="F31" s="22" t="n">
        <v>42000</v>
      </c>
      <c r="G31" s="22" t="n">
        <v>42000</v>
      </c>
      <c r="H31" s="22" t="n">
        <v>42000</v>
      </c>
      <c r="I31" s="22" t="n">
        <v>42000</v>
      </c>
      <c r="J31" s="22" t="n">
        <v>42000</v>
      </c>
      <c r="K31" s="22" t="n">
        <v>42000</v>
      </c>
      <c r="L31" s="22" t="n">
        <v>42000</v>
      </c>
      <c r="M31" s="22" t="n">
        <v>42000</v>
      </c>
    </row>
    <row r="32" customFormat="false" ht="15" hidden="false" customHeight="false" outlineLevel="0" collapsed="false">
      <c r="A32" s="9" t="s">
        <v>119</v>
      </c>
      <c r="B32" s="19" t="s">
        <v>98</v>
      </c>
      <c r="C32" s="24" t="n">
        <v>0.01</v>
      </c>
      <c r="D32" s="24" t="n">
        <v>0.01</v>
      </c>
      <c r="E32" s="24" t="n">
        <v>0.01</v>
      </c>
      <c r="F32" s="24" t="n">
        <v>0.01</v>
      </c>
      <c r="G32" s="24" t="n">
        <v>0.01</v>
      </c>
      <c r="H32" s="24" t="n">
        <v>0.01</v>
      </c>
      <c r="I32" s="24" t="n">
        <v>0.01</v>
      </c>
      <c r="J32" s="24" t="n">
        <v>0.01</v>
      </c>
      <c r="K32" s="24" t="n">
        <v>0.01</v>
      </c>
      <c r="L32" s="24" t="n">
        <v>0.01</v>
      </c>
      <c r="M32" s="24" t="n">
        <v>0.01</v>
      </c>
    </row>
    <row r="33" customFormat="false" ht="15" hidden="false" customHeight="false" outlineLevel="0" collapsed="false">
      <c r="A33" s="9" t="s">
        <v>120</v>
      </c>
      <c r="B33" s="19" t="s">
        <v>110</v>
      </c>
      <c r="C33" s="21" t="s">
        <v>121</v>
      </c>
      <c r="D33" s="21" t="s">
        <v>121</v>
      </c>
      <c r="E33" s="21" t="s">
        <v>121</v>
      </c>
      <c r="F33" s="21" t="s">
        <v>121</v>
      </c>
      <c r="G33" s="21" t="s">
        <v>121</v>
      </c>
      <c r="H33" s="21" t="s">
        <v>121</v>
      </c>
      <c r="I33" s="21" t="s">
        <v>121</v>
      </c>
      <c r="J33" s="21" t="s">
        <v>121</v>
      </c>
      <c r="K33" s="21" t="s">
        <v>122</v>
      </c>
      <c r="L33" s="21" t="s">
        <v>121</v>
      </c>
      <c r="M33" s="21" t="s">
        <v>121</v>
      </c>
    </row>
    <row r="34" customFormat="false" ht="15" hidden="false" customHeight="false" outlineLevel="0" collapsed="false">
      <c r="A34" s="9" t="s">
        <v>123</v>
      </c>
      <c r="B34" s="19" t="s">
        <v>86</v>
      </c>
      <c r="C34" s="23" t="n">
        <v>20</v>
      </c>
      <c r="D34" s="23" t="n">
        <v>20</v>
      </c>
      <c r="E34" s="23" t="n">
        <v>20</v>
      </c>
      <c r="F34" s="23" t="n">
        <v>20</v>
      </c>
      <c r="G34" s="23" t="n">
        <v>20</v>
      </c>
      <c r="H34" s="23" t="n">
        <v>20</v>
      </c>
      <c r="I34" s="23" t="n">
        <v>20</v>
      </c>
      <c r="J34" s="23" t="n">
        <v>20</v>
      </c>
      <c r="K34" s="23" t="n">
        <v>20</v>
      </c>
      <c r="L34" s="23" t="n">
        <v>20</v>
      </c>
      <c r="M34" s="23" t="n">
        <v>20</v>
      </c>
    </row>
    <row r="35" customFormat="false" ht="15" hidden="false" customHeight="false" outlineLevel="0" collapsed="false">
      <c r="A35" s="9" t="s">
        <v>124</v>
      </c>
      <c r="B35" s="19" t="s">
        <v>86</v>
      </c>
      <c r="C35" s="23" t="n">
        <v>10</v>
      </c>
      <c r="D35" s="23" t="n">
        <v>10</v>
      </c>
      <c r="E35" s="23" t="n">
        <v>10</v>
      </c>
      <c r="F35" s="23" t="n">
        <v>10</v>
      </c>
      <c r="G35" s="23" t="n">
        <v>10</v>
      </c>
      <c r="H35" s="23" t="n">
        <v>10</v>
      </c>
      <c r="I35" s="23" t="n">
        <v>10</v>
      </c>
      <c r="J35" s="23" t="n">
        <v>10</v>
      </c>
      <c r="K35" s="23" t="n">
        <v>5</v>
      </c>
      <c r="L35" s="23" t="n">
        <v>10</v>
      </c>
      <c r="M35" s="23" t="n">
        <v>10</v>
      </c>
    </row>
    <row r="36" customFormat="false" ht="15" hidden="false" customHeight="false" outlineLevel="0" collapsed="false">
      <c r="A36" s="7" t="s">
        <v>125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</row>
    <row r="37" customFormat="false" ht="15" hidden="false" customHeight="false" outlineLevel="0" collapsed="false">
      <c r="A37" s="9" t="s">
        <v>126</v>
      </c>
      <c r="B37" s="19" t="s">
        <v>77</v>
      </c>
      <c r="C37" s="21" t="s">
        <v>78</v>
      </c>
      <c r="D37" s="21" t="s">
        <v>78</v>
      </c>
      <c r="E37" s="21" t="s">
        <v>78</v>
      </c>
      <c r="F37" s="21" t="s">
        <v>78</v>
      </c>
      <c r="G37" s="21" t="s">
        <v>78</v>
      </c>
      <c r="H37" s="21" t="s">
        <v>78</v>
      </c>
      <c r="I37" s="21" t="s">
        <v>79</v>
      </c>
      <c r="J37" s="21" t="s">
        <v>78</v>
      </c>
      <c r="K37" s="21" t="s">
        <v>78</v>
      </c>
      <c r="L37" s="21" t="s">
        <v>78</v>
      </c>
      <c r="M37" s="21" t="s">
        <v>78</v>
      </c>
    </row>
    <row r="38" customFormat="false" ht="15" hidden="false" customHeight="false" outlineLevel="0" collapsed="false">
      <c r="A38" s="9" t="s">
        <v>127</v>
      </c>
      <c r="B38" s="19" t="s">
        <v>110</v>
      </c>
      <c r="C38" s="21" t="s">
        <v>128</v>
      </c>
      <c r="D38" s="21" t="s">
        <v>129</v>
      </c>
      <c r="E38" s="21" t="s">
        <v>128</v>
      </c>
      <c r="F38" s="21" t="s">
        <v>128</v>
      </c>
      <c r="G38" s="21" t="s">
        <v>128</v>
      </c>
      <c r="H38" s="21" t="s">
        <v>128</v>
      </c>
      <c r="I38" s="21" t="s">
        <v>128</v>
      </c>
      <c r="J38" s="21" t="s">
        <v>128</v>
      </c>
      <c r="K38" s="21" t="s">
        <v>128</v>
      </c>
      <c r="L38" s="21" t="s">
        <v>128</v>
      </c>
      <c r="M38" s="21" t="s">
        <v>128</v>
      </c>
    </row>
    <row r="39" customFormat="false" ht="15" hidden="false" customHeight="false" outlineLevel="0" collapsed="false">
      <c r="A39" s="9" t="s">
        <v>130</v>
      </c>
      <c r="B39" s="19" t="s">
        <v>131</v>
      </c>
      <c r="C39" s="25" t="n">
        <v>44211</v>
      </c>
      <c r="D39" s="25" t="n">
        <v>44211</v>
      </c>
      <c r="E39" s="25" t="n">
        <v>44211</v>
      </c>
      <c r="F39" s="25" t="n">
        <v>44211</v>
      </c>
      <c r="G39" s="25" t="n">
        <v>44211</v>
      </c>
      <c r="H39" s="25" t="n">
        <v>44211</v>
      </c>
      <c r="I39" s="25" t="n">
        <v>44211</v>
      </c>
      <c r="J39" s="25" t="n">
        <v>44211</v>
      </c>
      <c r="K39" s="25" t="n">
        <v>44211</v>
      </c>
      <c r="L39" s="25" t="n">
        <v>44211</v>
      </c>
      <c r="M39" s="25" t="n">
        <v>44211</v>
      </c>
    </row>
    <row r="40" customFormat="false" ht="15" hidden="false" customHeight="false" outlineLevel="0" collapsed="false">
      <c r="A40" s="9" t="s">
        <v>132</v>
      </c>
      <c r="B40" s="19" t="s">
        <v>131</v>
      </c>
      <c r="C40" s="25" t="n">
        <v>46303</v>
      </c>
      <c r="D40" s="25" t="n">
        <v>46303</v>
      </c>
      <c r="E40" s="25" t="n">
        <v>46303</v>
      </c>
      <c r="F40" s="25" t="n">
        <v>46303</v>
      </c>
      <c r="G40" s="25" t="n">
        <v>46303</v>
      </c>
      <c r="H40" s="25" t="n">
        <v>46303</v>
      </c>
      <c r="I40" s="25" t="n">
        <v>46303</v>
      </c>
      <c r="J40" s="25" t="n">
        <v>46303</v>
      </c>
      <c r="K40" s="25" t="n">
        <v>46303</v>
      </c>
      <c r="L40" s="25" t="n">
        <v>46303</v>
      </c>
      <c r="M40" s="25" t="n">
        <v>46303</v>
      </c>
    </row>
    <row r="41" customFormat="false" ht="15" hidden="false" customHeight="false" outlineLevel="0" collapsed="false">
      <c r="A41" s="7" t="s">
        <v>133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</row>
    <row r="42" customFormat="false" ht="15" hidden="false" customHeight="false" outlineLevel="0" collapsed="false">
      <c r="A42" s="9" t="s">
        <v>134</v>
      </c>
      <c r="B42" s="19" t="s">
        <v>110</v>
      </c>
      <c r="C42" s="21" t="s">
        <v>121</v>
      </c>
      <c r="D42" s="21" t="s">
        <v>121</v>
      </c>
      <c r="E42" s="21" t="s">
        <v>121</v>
      </c>
      <c r="F42" s="21" t="s">
        <v>121</v>
      </c>
      <c r="G42" s="21" t="s">
        <v>121</v>
      </c>
      <c r="H42" s="21" t="s">
        <v>121</v>
      </c>
      <c r="I42" s="21" t="s">
        <v>121</v>
      </c>
      <c r="J42" s="21" t="s">
        <v>121</v>
      </c>
      <c r="K42" s="21" t="s">
        <v>135</v>
      </c>
      <c r="L42" s="21" t="s">
        <v>121</v>
      </c>
      <c r="M42" s="21" t="s">
        <v>121</v>
      </c>
    </row>
    <row r="43" customFormat="false" ht="15" hidden="false" customHeight="false" outlineLevel="0" collapsed="false">
      <c r="A43" s="9" t="s">
        <v>136</v>
      </c>
      <c r="B43" s="19" t="s">
        <v>101</v>
      </c>
      <c r="C43" s="26" t="n">
        <v>269480.64</v>
      </c>
      <c r="D43" s="26" t="n">
        <v>269480.64</v>
      </c>
      <c r="E43" s="26" t="n">
        <v>269480.64</v>
      </c>
      <c r="F43" s="26" t="n">
        <v>269480.64</v>
      </c>
      <c r="G43" s="26" t="n">
        <v>269480.64</v>
      </c>
      <c r="H43" s="26" t="n">
        <v>269480.64</v>
      </c>
      <c r="I43" s="26" t="n">
        <v>269480.64</v>
      </c>
      <c r="J43" s="26" t="n">
        <v>269480.64</v>
      </c>
      <c r="K43" s="26" t="n">
        <v>180000</v>
      </c>
      <c r="L43" s="26" t="n">
        <v>269480.64</v>
      </c>
      <c r="M43" s="26" t="n">
        <v>269480.64</v>
      </c>
    </row>
    <row r="44" customFormat="false" ht="15" hidden="false" customHeight="false" outlineLevel="0" collapsed="false">
      <c r="A44" s="9" t="s">
        <v>137</v>
      </c>
      <c r="B44" s="19" t="s">
        <v>98</v>
      </c>
      <c r="C44" s="24" t="n">
        <v>0.0125</v>
      </c>
      <c r="D44" s="24" t="n">
        <v>0.0125</v>
      </c>
      <c r="E44" s="24" t="n">
        <v>0.0125</v>
      </c>
      <c r="F44" s="24" t="n">
        <v>0.0125</v>
      </c>
      <c r="G44" s="24" t="n">
        <v>0.0125</v>
      </c>
      <c r="H44" s="24" t="n">
        <v>0.0125</v>
      </c>
      <c r="I44" s="24" t="n">
        <v>0.0125</v>
      </c>
      <c r="J44" s="24" t="n">
        <v>0.0125</v>
      </c>
      <c r="K44" s="24" t="n">
        <v>0.021</v>
      </c>
      <c r="L44" s="24" t="n">
        <v>0.0125</v>
      </c>
      <c r="M44" s="24" t="n">
        <v>0.0125</v>
      </c>
    </row>
    <row r="45" customFormat="false" ht="15" hidden="false" customHeight="false" outlineLevel="0" collapsed="false">
      <c r="A45" s="9" t="s">
        <v>138</v>
      </c>
      <c r="B45" s="19" t="s">
        <v>86</v>
      </c>
      <c r="C45" s="23" t="n">
        <v>10</v>
      </c>
      <c r="D45" s="23" t="n">
        <v>10</v>
      </c>
      <c r="E45" s="23" t="n">
        <v>10</v>
      </c>
      <c r="F45" s="23" t="n">
        <v>10</v>
      </c>
      <c r="G45" s="23" t="n">
        <v>10</v>
      </c>
      <c r="H45" s="23" t="n">
        <v>10</v>
      </c>
      <c r="I45" s="23" t="n">
        <v>10</v>
      </c>
      <c r="J45" s="23" t="n">
        <v>10</v>
      </c>
      <c r="K45" s="23" t="n">
        <v>12</v>
      </c>
      <c r="L45" s="23" t="n">
        <v>10</v>
      </c>
      <c r="M45" s="23" t="n">
        <v>10</v>
      </c>
    </row>
    <row r="46" customFormat="false" ht="15" hidden="false" customHeight="false" outlineLevel="0" collapsed="false">
      <c r="A46" s="7" t="s">
        <v>139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</row>
    <row r="47" customFormat="false" ht="15" hidden="false" customHeight="false" outlineLevel="0" collapsed="false">
      <c r="A47" s="9" t="s">
        <v>140</v>
      </c>
      <c r="B47" s="19" t="s">
        <v>110</v>
      </c>
      <c r="C47" s="21" t="s">
        <v>122</v>
      </c>
      <c r="D47" s="21" t="s">
        <v>122</v>
      </c>
      <c r="E47" s="21" t="s">
        <v>122</v>
      </c>
      <c r="F47" s="21" t="s">
        <v>122</v>
      </c>
      <c r="G47" s="21" t="s">
        <v>122</v>
      </c>
      <c r="H47" s="21" t="s">
        <v>122</v>
      </c>
      <c r="I47" s="21" t="s">
        <v>122</v>
      </c>
      <c r="J47" s="21" t="s">
        <v>122</v>
      </c>
      <c r="K47" s="21" t="s">
        <v>121</v>
      </c>
      <c r="L47" s="21" t="s">
        <v>122</v>
      </c>
      <c r="M47" s="21" t="s">
        <v>122</v>
      </c>
    </row>
    <row r="48" customFormat="false" ht="15" hidden="false" customHeight="false" outlineLevel="0" collapsed="false">
      <c r="A48" s="9" t="s">
        <v>141</v>
      </c>
      <c r="B48" s="19" t="s">
        <v>101</v>
      </c>
      <c r="C48" s="26" t="n">
        <v>354269.27</v>
      </c>
      <c r="D48" s="26" t="n">
        <v>354269.27</v>
      </c>
      <c r="E48" s="26" t="n">
        <v>354269.27</v>
      </c>
      <c r="F48" s="26" t="n">
        <v>354269.27</v>
      </c>
      <c r="G48" s="26" t="n">
        <v>354269.27</v>
      </c>
      <c r="H48" s="26" t="n">
        <v>354269.27</v>
      </c>
      <c r="I48" s="26" t="n">
        <v>354269.27</v>
      </c>
      <c r="J48" s="26" t="n">
        <v>354269.27</v>
      </c>
      <c r="K48" s="26" t="n">
        <v>220000</v>
      </c>
      <c r="L48" s="26" t="n">
        <v>354269.27</v>
      </c>
      <c r="M48" s="26" t="n">
        <v>354269.27</v>
      </c>
    </row>
    <row r="49" customFormat="false" ht="15" hidden="false" customHeight="false" outlineLevel="0" collapsed="false">
      <c r="A49" s="9" t="s">
        <v>142</v>
      </c>
      <c r="B49" s="19" t="s">
        <v>98</v>
      </c>
      <c r="C49" s="24" t="n">
        <v>0.0185</v>
      </c>
      <c r="D49" s="24" t="n">
        <v>0.0185</v>
      </c>
      <c r="E49" s="24" t="n">
        <v>0.0185</v>
      </c>
      <c r="F49" s="24" t="n">
        <v>0.0185</v>
      </c>
      <c r="G49" s="24" t="n">
        <v>0.0185</v>
      </c>
      <c r="H49" s="24" t="n">
        <v>0.0185</v>
      </c>
      <c r="I49" s="24" t="n">
        <v>0.0185</v>
      </c>
      <c r="J49" s="24" t="n">
        <v>0.0185</v>
      </c>
      <c r="K49" s="24" t="n">
        <v>0.034</v>
      </c>
      <c r="L49" s="24" t="n">
        <v>0.0185</v>
      </c>
      <c r="M49" s="24" t="n">
        <v>0.0185</v>
      </c>
    </row>
    <row r="50" customFormat="false" ht="15" hidden="false" customHeight="false" outlineLevel="0" collapsed="false">
      <c r="A50" s="9" t="s">
        <v>143</v>
      </c>
      <c r="B50" s="19" t="s">
        <v>86</v>
      </c>
      <c r="C50" s="23" t="n">
        <v>20</v>
      </c>
      <c r="D50" s="23" t="n">
        <v>20</v>
      </c>
      <c r="E50" s="23" t="n">
        <v>10</v>
      </c>
      <c r="F50" s="23" t="n">
        <v>20</v>
      </c>
      <c r="G50" s="23" t="n">
        <v>20</v>
      </c>
      <c r="H50" s="23" t="n">
        <v>20</v>
      </c>
      <c r="I50" s="23" t="n">
        <v>20</v>
      </c>
      <c r="J50" s="23" t="n">
        <v>20</v>
      </c>
      <c r="K50" s="23" t="n">
        <v>5</v>
      </c>
      <c r="L50" s="23" t="n">
        <v>20</v>
      </c>
      <c r="M50" s="23" t="n">
        <v>20</v>
      </c>
    </row>
    <row r="51" customFormat="false" ht="15" hidden="false" customHeight="false" outlineLevel="0" collapsed="false">
      <c r="A51" s="7" t="s">
        <v>144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</row>
    <row r="52" customFormat="false" ht="15" hidden="false" customHeight="false" outlineLevel="0" collapsed="false">
      <c r="A52" s="9" t="s">
        <v>145</v>
      </c>
      <c r="B52" s="19" t="s">
        <v>110</v>
      </c>
      <c r="C52" s="21" t="s">
        <v>121</v>
      </c>
      <c r="D52" s="21" t="s">
        <v>121</v>
      </c>
      <c r="E52" s="21" t="s">
        <v>121</v>
      </c>
      <c r="F52" s="21" t="s">
        <v>121</v>
      </c>
      <c r="G52" s="21" t="s">
        <v>121</v>
      </c>
      <c r="H52" s="21" t="s">
        <v>121</v>
      </c>
      <c r="I52" s="21" t="s">
        <v>121</v>
      </c>
      <c r="J52" s="21" t="s">
        <v>121</v>
      </c>
      <c r="K52" s="21" t="s">
        <v>122</v>
      </c>
      <c r="L52" s="21" t="s">
        <v>121</v>
      </c>
      <c r="M52" s="21" t="s">
        <v>121</v>
      </c>
    </row>
    <row r="53" customFormat="false" ht="15" hidden="false" customHeight="false" outlineLevel="0" collapsed="false">
      <c r="A53" s="9" t="s">
        <v>146</v>
      </c>
      <c r="B53" s="19" t="s">
        <v>101</v>
      </c>
      <c r="C53" s="26" t="n">
        <v>0</v>
      </c>
      <c r="D53" s="26" t="n">
        <v>0</v>
      </c>
      <c r="E53" s="26" t="n">
        <v>0</v>
      </c>
      <c r="F53" s="26" t="n">
        <v>0</v>
      </c>
      <c r="G53" s="26" t="n">
        <v>0</v>
      </c>
      <c r="H53" s="26" t="n">
        <v>0</v>
      </c>
      <c r="I53" s="26" t="n">
        <v>0</v>
      </c>
      <c r="J53" s="26" t="n">
        <v>0</v>
      </c>
      <c r="K53" s="26" t="n">
        <v>150000</v>
      </c>
      <c r="L53" s="26" t="n">
        <v>0</v>
      </c>
      <c r="M53" s="26" t="n">
        <v>0</v>
      </c>
    </row>
    <row r="54" customFormat="false" ht="15" hidden="false" customHeight="false" outlineLevel="0" collapsed="false">
      <c r="A54" s="9" t="s">
        <v>147</v>
      </c>
      <c r="B54" s="19" t="s">
        <v>98</v>
      </c>
      <c r="C54" s="24" t="n">
        <v>0.03</v>
      </c>
      <c r="D54" s="24" t="n">
        <v>0.03</v>
      </c>
      <c r="E54" s="24" t="n">
        <v>0.03</v>
      </c>
      <c r="F54" s="24" t="n">
        <v>0.03</v>
      </c>
      <c r="G54" s="24" t="n">
        <v>0.03</v>
      </c>
      <c r="H54" s="24" t="n">
        <v>0.03</v>
      </c>
      <c r="I54" s="24" t="n">
        <v>0.03</v>
      </c>
      <c r="J54" s="24" t="n">
        <v>0.03</v>
      </c>
      <c r="K54" s="24" t="n">
        <v>0.0485</v>
      </c>
      <c r="L54" s="24" t="n">
        <v>0.03</v>
      </c>
      <c r="M54" s="24" t="n">
        <v>0.03</v>
      </c>
    </row>
    <row r="55" customFormat="false" ht="15" hidden="false" customHeight="false" outlineLevel="0" collapsed="false">
      <c r="A55" s="9" t="s">
        <v>148</v>
      </c>
      <c r="B55" s="19" t="s">
        <v>86</v>
      </c>
      <c r="C55" s="23" t="n">
        <v>10</v>
      </c>
      <c r="D55" s="23" t="n">
        <v>10</v>
      </c>
      <c r="E55" s="23" t="n">
        <v>10</v>
      </c>
      <c r="F55" s="23" t="n">
        <v>10</v>
      </c>
      <c r="G55" s="23" t="n">
        <v>10</v>
      </c>
      <c r="H55" s="23" t="n">
        <v>10</v>
      </c>
      <c r="I55" s="23" t="n">
        <v>10</v>
      </c>
      <c r="J55" s="23" t="n">
        <v>10</v>
      </c>
      <c r="K55" s="23" t="n">
        <v>3</v>
      </c>
      <c r="L55" s="23" t="n">
        <v>10</v>
      </c>
      <c r="M55" s="23" t="n">
        <v>10</v>
      </c>
    </row>
    <row r="56" customFormat="false" ht="15" hidden="false" customHeight="false" outlineLevel="0" collapsed="false">
      <c r="A56" s="7" t="s">
        <v>149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</row>
    <row r="57" customFormat="false" ht="15" hidden="false" customHeight="false" outlineLevel="0" collapsed="false">
      <c r="A57" s="9" t="s">
        <v>150</v>
      </c>
      <c r="B57" s="19" t="s">
        <v>110</v>
      </c>
      <c r="C57" s="21" t="s">
        <v>121</v>
      </c>
      <c r="D57" s="21" t="s">
        <v>121</v>
      </c>
      <c r="E57" s="21" t="s">
        <v>121</v>
      </c>
      <c r="F57" s="21" t="s">
        <v>121</v>
      </c>
      <c r="G57" s="21" t="s">
        <v>121</v>
      </c>
      <c r="H57" s="21" t="s">
        <v>121</v>
      </c>
      <c r="I57" s="21" t="s">
        <v>121</v>
      </c>
      <c r="J57" s="21" t="s">
        <v>121</v>
      </c>
      <c r="K57" s="21" t="s">
        <v>121</v>
      </c>
      <c r="L57" s="21" t="s">
        <v>121</v>
      </c>
      <c r="M57" s="21" t="s">
        <v>121</v>
      </c>
    </row>
    <row r="58" customFormat="false" ht="15" hidden="false" customHeight="false" outlineLevel="0" collapsed="false">
      <c r="A58" s="9" t="s">
        <v>151</v>
      </c>
      <c r="B58" s="19" t="s">
        <v>101</v>
      </c>
      <c r="C58" s="26" t="n">
        <v>0</v>
      </c>
      <c r="D58" s="26" t="n">
        <v>0</v>
      </c>
      <c r="E58" s="26" t="n">
        <v>0</v>
      </c>
      <c r="F58" s="26" t="n">
        <v>0</v>
      </c>
      <c r="G58" s="26" t="n">
        <v>0</v>
      </c>
      <c r="H58" s="26" t="n">
        <v>0</v>
      </c>
      <c r="I58" s="26" t="n">
        <v>0</v>
      </c>
      <c r="J58" s="26" t="n">
        <v>0</v>
      </c>
      <c r="K58" s="26" t="n">
        <v>0</v>
      </c>
      <c r="L58" s="26" t="n">
        <v>0</v>
      </c>
      <c r="M58" s="26" t="n">
        <v>0</v>
      </c>
    </row>
    <row r="59" customFormat="false" ht="15" hidden="false" customHeight="false" outlineLevel="0" collapsed="false">
      <c r="A59" s="9" t="s">
        <v>152</v>
      </c>
      <c r="B59" s="19" t="s">
        <v>98</v>
      </c>
      <c r="C59" s="24" t="n">
        <v>0.03</v>
      </c>
      <c r="D59" s="24" t="n">
        <v>0.03</v>
      </c>
      <c r="E59" s="24" t="n">
        <v>0.03</v>
      </c>
      <c r="F59" s="24" t="n">
        <v>0.03</v>
      </c>
      <c r="G59" s="24" t="n">
        <v>0.03</v>
      </c>
      <c r="H59" s="24" t="n">
        <v>0.03</v>
      </c>
      <c r="I59" s="24" t="n">
        <v>0.03</v>
      </c>
      <c r="J59" s="24" t="n">
        <v>0.03</v>
      </c>
      <c r="K59" s="24" t="n">
        <v>0.03</v>
      </c>
      <c r="L59" s="24" t="n">
        <v>0.03</v>
      </c>
      <c r="M59" s="24" t="n">
        <v>0.03</v>
      </c>
    </row>
    <row r="60" customFormat="false" ht="15" hidden="false" customHeight="false" outlineLevel="0" collapsed="false">
      <c r="A60" s="9" t="s">
        <v>153</v>
      </c>
      <c r="B60" s="19" t="s">
        <v>86</v>
      </c>
      <c r="C60" s="23" t="n">
        <v>10</v>
      </c>
      <c r="D60" s="23" t="n">
        <v>10</v>
      </c>
      <c r="E60" s="23" t="n">
        <v>10</v>
      </c>
      <c r="F60" s="23" t="n">
        <v>10</v>
      </c>
      <c r="G60" s="23" t="n">
        <v>10</v>
      </c>
      <c r="H60" s="23" t="n">
        <v>10</v>
      </c>
      <c r="I60" s="23" t="n">
        <v>10</v>
      </c>
      <c r="J60" s="23" t="n">
        <v>10</v>
      </c>
      <c r="K60" s="23" t="n">
        <v>10</v>
      </c>
      <c r="L60" s="23" t="n">
        <v>10</v>
      </c>
      <c r="M60" s="23" t="n">
        <v>10</v>
      </c>
    </row>
    <row r="61" customFormat="false" ht="15" hidden="false" customHeight="false" outlineLevel="0" collapsed="false">
      <c r="A61" s="7" t="s">
        <v>154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</row>
    <row r="62" customFormat="false" ht="15" hidden="false" customHeight="false" outlineLevel="0" collapsed="false">
      <c r="A62" s="9" t="s">
        <v>155</v>
      </c>
      <c r="B62" s="19" t="s">
        <v>101</v>
      </c>
      <c r="C62" s="22" t="n">
        <v>935000</v>
      </c>
      <c r="D62" s="22" t="n">
        <v>935000</v>
      </c>
      <c r="E62" s="22" t="n">
        <v>935000</v>
      </c>
      <c r="F62" s="22" t="n">
        <v>935000</v>
      </c>
      <c r="G62" s="22" t="n">
        <v>935000</v>
      </c>
      <c r="H62" s="22" t="n">
        <v>935000</v>
      </c>
      <c r="I62" s="22" t="n">
        <v>935000</v>
      </c>
      <c r="J62" s="22" t="n">
        <v>935000</v>
      </c>
      <c r="K62" s="22" t="n">
        <v>900000</v>
      </c>
      <c r="L62" s="22" t="n">
        <v>935000</v>
      </c>
      <c r="M62" s="22" t="n">
        <v>935000</v>
      </c>
    </row>
    <row r="63" customFormat="false" ht="15" hidden="false" customHeight="false" outlineLevel="0" collapsed="false">
      <c r="A63" s="9" t="s">
        <v>156</v>
      </c>
      <c r="B63" s="19" t="s">
        <v>157</v>
      </c>
      <c r="C63" s="27" t="n">
        <v>0.95</v>
      </c>
      <c r="D63" s="27" t="n">
        <v>0.95</v>
      </c>
      <c r="E63" s="27" t="n">
        <v>0.95</v>
      </c>
      <c r="F63" s="27" t="n">
        <v>0.95</v>
      </c>
      <c r="G63" s="27" t="n">
        <v>0.95</v>
      </c>
      <c r="H63" s="27" t="n">
        <v>0.95</v>
      </c>
      <c r="I63" s="27" t="n">
        <v>0.95</v>
      </c>
      <c r="J63" s="27" t="n">
        <v>0.95</v>
      </c>
      <c r="K63" s="27" t="n">
        <v>0.95</v>
      </c>
      <c r="L63" s="27" t="n">
        <v>0.95</v>
      </c>
      <c r="M63" s="27" t="n">
        <v>0.95</v>
      </c>
    </row>
    <row r="64" customFormat="false" ht="15" hidden="false" customHeight="false" outlineLevel="0" collapsed="false">
      <c r="A64" s="9" t="s">
        <v>158</v>
      </c>
      <c r="B64" s="19" t="s">
        <v>101</v>
      </c>
      <c r="C64" s="22" t="n">
        <v>150000</v>
      </c>
      <c r="D64" s="22" t="n">
        <v>150000</v>
      </c>
      <c r="E64" s="22" t="n">
        <v>150000</v>
      </c>
      <c r="F64" s="22" t="n">
        <v>150000</v>
      </c>
      <c r="G64" s="22" t="n">
        <v>40000</v>
      </c>
      <c r="H64" s="22" t="n">
        <v>60000</v>
      </c>
      <c r="I64" s="22" t="n">
        <v>150000</v>
      </c>
      <c r="J64" s="22" t="n">
        <v>150000</v>
      </c>
      <c r="K64" s="22" t="n">
        <v>90000</v>
      </c>
      <c r="L64" s="22" t="n">
        <v>150000</v>
      </c>
      <c r="M64" s="22" t="n">
        <v>150000</v>
      </c>
    </row>
    <row r="65" customFormat="false" ht="15" hidden="false" customHeight="false" outlineLevel="0" collapsed="false">
      <c r="A65" s="9" t="s">
        <v>159</v>
      </c>
      <c r="B65" s="19" t="s">
        <v>160</v>
      </c>
      <c r="C65" s="24" t="n">
        <v>0.02</v>
      </c>
      <c r="D65" s="24" t="n">
        <v>0.02</v>
      </c>
      <c r="E65" s="24" t="n">
        <v>0.02</v>
      </c>
      <c r="F65" s="24" t="n">
        <v>0.02</v>
      </c>
      <c r="G65" s="24" t="n">
        <v>0.02</v>
      </c>
      <c r="H65" s="24" t="n">
        <v>0</v>
      </c>
      <c r="I65" s="24" t="n">
        <v>0.02</v>
      </c>
      <c r="J65" s="24" t="n">
        <v>0.02</v>
      </c>
      <c r="K65" s="24" t="n">
        <v>0.02</v>
      </c>
      <c r="L65" s="24" t="n">
        <v>0.02</v>
      </c>
      <c r="M65" s="24" t="n">
        <v>0.02</v>
      </c>
    </row>
    <row r="66" customFormat="false" ht="15" hidden="false" customHeight="false" outlineLevel="0" collapsed="false">
      <c r="A66" s="9" t="s">
        <v>161</v>
      </c>
      <c r="B66" s="19" t="s">
        <v>101</v>
      </c>
      <c r="C66" s="22" t="n">
        <v>1200</v>
      </c>
      <c r="D66" s="22" t="n">
        <v>1200</v>
      </c>
      <c r="E66" s="22" t="n">
        <v>1200</v>
      </c>
      <c r="F66" s="22" t="n">
        <v>1200</v>
      </c>
      <c r="G66" s="22" t="n">
        <v>1200</v>
      </c>
      <c r="H66" s="22" t="n">
        <v>1200</v>
      </c>
      <c r="I66" s="22" t="n">
        <v>1200</v>
      </c>
      <c r="J66" s="22" t="n">
        <v>1200</v>
      </c>
      <c r="K66" s="22" t="n">
        <v>1200</v>
      </c>
      <c r="L66" s="22" t="n">
        <v>1200</v>
      </c>
      <c r="M66" s="22" t="n">
        <v>1200</v>
      </c>
    </row>
    <row r="67" customFormat="false" ht="15" hidden="false" customHeight="false" outlineLevel="0" collapsed="false">
      <c r="A67" s="9" t="s">
        <v>162</v>
      </c>
      <c r="B67" s="19" t="s">
        <v>101</v>
      </c>
      <c r="C67" s="22" t="n">
        <v>600</v>
      </c>
      <c r="D67" s="22" t="n">
        <v>600</v>
      </c>
      <c r="E67" s="22" t="n">
        <v>600</v>
      </c>
      <c r="F67" s="22" t="n">
        <v>600</v>
      </c>
      <c r="G67" s="22" t="n">
        <v>600</v>
      </c>
      <c r="H67" s="22" t="n">
        <v>600</v>
      </c>
      <c r="I67" s="22" t="n">
        <v>600</v>
      </c>
      <c r="J67" s="22" t="n">
        <v>600</v>
      </c>
      <c r="K67" s="22" t="n">
        <v>600</v>
      </c>
      <c r="L67" s="22" t="n">
        <v>600</v>
      </c>
      <c r="M67" s="22" t="n">
        <v>600</v>
      </c>
    </row>
    <row r="68" customFormat="false" ht="15" hidden="false" customHeight="false" outlineLevel="0" collapsed="false">
      <c r="A68" s="9" t="s">
        <v>163</v>
      </c>
      <c r="B68" s="19" t="s">
        <v>101</v>
      </c>
      <c r="C68" s="22" t="n">
        <v>2500</v>
      </c>
      <c r="D68" s="22" t="n">
        <v>2500</v>
      </c>
      <c r="E68" s="22" t="n">
        <v>2500</v>
      </c>
      <c r="F68" s="22" t="n">
        <v>2500</v>
      </c>
      <c r="G68" s="22" t="n">
        <v>2500</v>
      </c>
      <c r="H68" s="22" t="n">
        <v>2500</v>
      </c>
      <c r="I68" s="22" t="n">
        <v>2500</v>
      </c>
      <c r="J68" s="22" t="n">
        <v>2500</v>
      </c>
      <c r="K68" s="22" t="n">
        <v>2500</v>
      </c>
      <c r="L68" s="22" t="n">
        <v>2500</v>
      </c>
      <c r="M68" s="22" t="n">
        <v>2500</v>
      </c>
    </row>
    <row r="69" customFormat="false" ht="15" hidden="false" customHeight="false" outlineLevel="0" collapsed="false">
      <c r="A69" s="9" t="s">
        <v>164</v>
      </c>
      <c r="B69" s="19" t="s">
        <v>77</v>
      </c>
      <c r="C69" s="21" t="s">
        <v>78</v>
      </c>
      <c r="D69" s="21" t="s">
        <v>78</v>
      </c>
      <c r="E69" s="21" t="s">
        <v>78</v>
      </c>
      <c r="F69" s="21" t="s">
        <v>78</v>
      </c>
      <c r="G69" s="21" t="s">
        <v>78</v>
      </c>
      <c r="H69" s="21" t="s">
        <v>78</v>
      </c>
      <c r="I69" s="21" t="s">
        <v>78</v>
      </c>
      <c r="J69" s="21" t="s">
        <v>78</v>
      </c>
      <c r="K69" s="21" t="s">
        <v>78</v>
      </c>
      <c r="L69" s="21" t="s">
        <v>78</v>
      </c>
      <c r="M69" s="21" t="s">
        <v>78</v>
      </c>
    </row>
    <row r="70" customFormat="false" ht="15" hidden="false" customHeight="false" outlineLevel="0" collapsed="false">
      <c r="A70" s="9" t="s">
        <v>165</v>
      </c>
      <c r="B70" s="19" t="s">
        <v>77</v>
      </c>
      <c r="C70" s="21" t="s">
        <v>79</v>
      </c>
      <c r="D70" s="21" t="s">
        <v>79</v>
      </c>
      <c r="E70" s="21" t="s">
        <v>79</v>
      </c>
      <c r="F70" s="21" t="s">
        <v>79</v>
      </c>
      <c r="G70" s="21" t="s">
        <v>79</v>
      </c>
      <c r="H70" s="21" t="s">
        <v>79</v>
      </c>
      <c r="I70" s="21" t="s">
        <v>79</v>
      </c>
      <c r="J70" s="21" t="s">
        <v>79</v>
      </c>
      <c r="K70" s="21" t="s">
        <v>79</v>
      </c>
      <c r="L70" s="21" t="s">
        <v>79</v>
      </c>
      <c r="M70" s="21" t="s">
        <v>79</v>
      </c>
    </row>
    <row r="71" customFormat="false" ht="15" hidden="false" customHeight="false" outlineLevel="0" collapsed="false">
      <c r="A71" s="9" t="s">
        <v>166</v>
      </c>
      <c r="B71" s="19" t="s">
        <v>77</v>
      </c>
      <c r="C71" s="21" t="s">
        <v>78</v>
      </c>
      <c r="D71" s="21" t="s">
        <v>78</v>
      </c>
      <c r="E71" s="21" t="s">
        <v>78</v>
      </c>
      <c r="F71" s="21" t="s">
        <v>78</v>
      </c>
      <c r="G71" s="21" t="s">
        <v>78</v>
      </c>
      <c r="H71" s="21" t="s">
        <v>78</v>
      </c>
      <c r="I71" s="21" t="s">
        <v>78</v>
      </c>
      <c r="J71" s="21" t="s">
        <v>78</v>
      </c>
      <c r="K71" s="21" t="s">
        <v>78</v>
      </c>
      <c r="L71" s="21" t="s">
        <v>78</v>
      </c>
      <c r="M71" s="21" t="s">
        <v>78</v>
      </c>
    </row>
  </sheetData>
  <dataValidations count="6">
    <dataValidation allowBlank="true" errorStyle="stop" operator="between" showDropDown="false" showErrorMessage="false" showInputMessage="false" sqref="C7:M8 C30:M30 C37:M37 C69:M71" type="list">
      <formula1>"Ja,Nee"</formula1>
      <formula2>0</formula2>
    </dataValidation>
    <dataValidation allowBlank="true" errorStyle="stop" operator="between" showDropDown="false" showErrorMessage="false" showInputMessage="false" sqref="C33:M33 C42:M42 C47:M47 C52:M52 C57:M57" type="list">
      <formula1>"Annuïteit,Lineair,Aflossingsvrij"</formula1>
      <formula2>0</formula2>
    </dataValidation>
    <dataValidation allowBlank="true" errorStyle="stop" operator="between" showDropDown="false" showErrorMessage="false" showInputMessage="false" sqref="C27:M27" type="list">
      <formula1>"Gewogen toetsrente,Contractrente"</formula1>
      <formula2>0</formula2>
    </dataValidation>
    <dataValidation allowBlank="true" errorStyle="stop" operator="between" showDropDown="false" showErrorMessage="false" showInputMessage="false" sqref="C28:M28" type="list">
      <formula1>"Marginaal,Gewogen"</formula1>
      <formula2>0</formula2>
    </dataValidation>
    <dataValidation allowBlank="true" errorStyle="stop" operator="between" showDropDown="false" showErrorMessage="false" showInputMessage="false" sqref="C38:M38" type="list">
      <formula1>"Resterend,30 jaar"</formula1>
      <formula2>0</formula2>
    </dataValidation>
    <dataValidation allowBlank="true" errorStyle="stop" operator="between" showDropDown="false" showErrorMessage="false" showInputMessage="false" sqref="C16:M16" type="list">
      <formula1>"G,F,E,D,C,B,A,A+,A++,A+++,A++++"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true"/>
  </sheetPr>
  <dimension ref="A1:M1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12"/>
    <col collapsed="false" customWidth="true" hidden="false" outlineLevel="0" max="13" min="3" style="0" width="16"/>
  </cols>
  <sheetData>
    <row r="1" customFormat="false" ht="19.7" hidden="false" customHeight="false" outlineLevel="0" collapsed="false">
      <c r="A1" s="1" t="s">
        <v>167</v>
      </c>
    </row>
    <row r="2" customFormat="false" ht="15" hidden="false" customHeight="false" outlineLevel="0" collapsed="false">
      <c r="A2" s="2" t="s">
        <v>168</v>
      </c>
    </row>
    <row r="4" customFormat="false" ht="15" hidden="false" customHeight="false" outlineLevel="0" collapsed="false">
      <c r="A4" s="17" t="s">
        <v>169</v>
      </c>
      <c r="B4" s="17" t="s">
        <v>62</v>
      </c>
      <c r="C4" s="18" t="n">
        <f aca="false">Invoer!C4</f>
        <v>1</v>
      </c>
      <c r="D4" s="18" t="n">
        <f aca="false">Invoer!D4</f>
        <v>2</v>
      </c>
      <c r="E4" s="18" t="n">
        <f aca="false">Invoer!E4</f>
        <v>3</v>
      </c>
      <c r="F4" s="18" t="n">
        <f aca="false">Invoer!F4</f>
        <v>4</v>
      </c>
      <c r="G4" s="18" t="n">
        <f aca="false">Invoer!G4</f>
        <v>5</v>
      </c>
      <c r="H4" s="18" t="n">
        <f aca="false">Invoer!H4</f>
        <v>6</v>
      </c>
      <c r="I4" s="18" t="n">
        <f aca="false">Invoer!I4</f>
        <v>7</v>
      </c>
      <c r="J4" s="18" t="n">
        <f aca="false">Invoer!J4</f>
        <v>8</v>
      </c>
      <c r="K4" s="18" t="n">
        <f aca="false">Invoer!K4</f>
        <v>9</v>
      </c>
      <c r="L4" s="18" t="n">
        <f aca="false">Invoer!L4</f>
        <v>10</v>
      </c>
      <c r="M4" s="18" t="n">
        <f aca="false">Invoer!M4</f>
        <v>11</v>
      </c>
    </row>
    <row r="5" customFormat="false" ht="15" hidden="false" customHeight="false" outlineLevel="0" collapsed="false">
      <c r="A5" s="7" t="s">
        <v>170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</row>
    <row r="6" customFormat="false" ht="15" hidden="false" customHeight="false" outlineLevel="0" collapsed="false">
      <c r="A6" s="9" t="s">
        <v>171</v>
      </c>
      <c r="B6" s="19"/>
      <c r="C6" s="28" t="n">
        <f aca="false">IF(Invoer!C7="Ja",1,0)</f>
        <v>1</v>
      </c>
      <c r="D6" s="28" t="n">
        <f aca="false">IF(Invoer!D7="Ja",1,0)</f>
        <v>1</v>
      </c>
      <c r="E6" s="28" t="n">
        <f aca="false">IF(Invoer!E7="Ja",1,0)</f>
        <v>1</v>
      </c>
      <c r="F6" s="28" t="n">
        <f aca="false">IF(Invoer!F7="Ja",1,0)</f>
        <v>1</v>
      </c>
      <c r="G6" s="28" t="n">
        <f aca="false">IF(Invoer!G7="Ja",1,0)</f>
        <v>0</v>
      </c>
      <c r="H6" s="28" t="n">
        <f aca="false">IF(Invoer!H7="Ja",1,0)</f>
        <v>0</v>
      </c>
      <c r="I6" s="28" t="n">
        <f aca="false">IF(Invoer!I7="Ja",1,0)</f>
        <v>1</v>
      </c>
      <c r="J6" s="28" t="n">
        <f aca="false">IF(Invoer!J7="Ja",1,0)</f>
        <v>1</v>
      </c>
      <c r="K6" s="28" t="n">
        <f aca="false">IF(Invoer!K7="Ja",1,0)</f>
        <v>1</v>
      </c>
      <c r="L6" s="28" t="n">
        <f aca="false">IF(Invoer!L7="Ja",1,0)</f>
        <v>1</v>
      </c>
      <c r="M6" s="28" t="n">
        <f aca="false">IF(Invoer!M7="Ja",1,0)</f>
        <v>1</v>
      </c>
    </row>
    <row r="7" customFormat="false" ht="15" hidden="false" customHeight="false" outlineLevel="0" collapsed="false">
      <c r="A7" s="9" t="s">
        <v>172</v>
      </c>
      <c r="B7" s="19"/>
      <c r="C7" s="28" t="n">
        <f aca="false">IF(Invoer!C8="Ja",1,0)</f>
        <v>1</v>
      </c>
      <c r="D7" s="28" t="n">
        <f aca="false">IF(Invoer!D8="Ja",1,0)</f>
        <v>1</v>
      </c>
      <c r="E7" s="28" t="n">
        <f aca="false">IF(Invoer!E8="Ja",1,0)</f>
        <v>1</v>
      </c>
      <c r="F7" s="28" t="n">
        <f aca="false">IF(Invoer!F8="Ja",1,0)</f>
        <v>1</v>
      </c>
      <c r="G7" s="28" t="n">
        <f aca="false">IF(Invoer!G8="Ja",1,0)</f>
        <v>0</v>
      </c>
      <c r="H7" s="28" t="n">
        <f aca="false">IF(Invoer!H8="Ja",1,0)</f>
        <v>1</v>
      </c>
      <c r="I7" s="28" t="n">
        <f aca="false">IF(Invoer!I8="Ja",1,0)</f>
        <v>1</v>
      </c>
      <c r="J7" s="28" t="n">
        <f aca="false">IF(Invoer!J8="Ja",1,0)</f>
        <v>1</v>
      </c>
      <c r="K7" s="28" t="n">
        <f aca="false">IF(Invoer!K8="Ja",1,0)</f>
        <v>1</v>
      </c>
      <c r="L7" s="28" t="n">
        <f aca="false">IF(Invoer!L8="Ja",1,0)</f>
        <v>1</v>
      </c>
      <c r="M7" s="28" t="n">
        <f aca="false">IF(Invoer!M8="Ja",1,0)</f>
        <v>1</v>
      </c>
    </row>
    <row r="8" customFormat="false" ht="15" hidden="false" customHeight="false" outlineLevel="0" collapsed="false">
      <c r="A8" s="9" t="s">
        <v>173</v>
      </c>
      <c r="B8" s="19"/>
      <c r="C8" s="28" t="n">
        <f aca="false">C6*IF(Invoer!C37="Ja",1,0)</f>
        <v>1</v>
      </c>
      <c r="D8" s="28" t="n">
        <f aca="false">D6*IF(Invoer!D37="Ja",1,0)</f>
        <v>1</v>
      </c>
      <c r="E8" s="28" t="n">
        <f aca="false">E6*IF(Invoer!E37="Ja",1,0)</f>
        <v>1</v>
      </c>
      <c r="F8" s="28" t="n">
        <f aca="false">F6*IF(Invoer!F37="Ja",1,0)</f>
        <v>1</v>
      </c>
      <c r="G8" s="28" t="n">
        <f aca="false">G6*IF(Invoer!G37="Ja",1,0)</f>
        <v>0</v>
      </c>
      <c r="H8" s="28" t="n">
        <f aca="false">H6*IF(Invoer!H37="Ja",1,0)</f>
        <v>0</v>
      </c>
      <c r="I8" s="28" t="n">
        <f aca="false">I6*IF(Invoer!I37="Ja",1,0)</f>
        <v>0</v>
      </c>
      <c r="J8" s="28" t="n">
        <f aca="false">J6*IF(Invoer!J37="Ja",1,0)</f>
        <v>1</v>
      </c>
      <c r="K8" s="28" t="n">
        <f aca="false">K6*IF(Invoer!K37="Ja",1,0)</f>
        <v>1</v>
      </c>
      <c r="L8" s="28" t="n">
        <f aca="false">L6*IF(Invoer!L37="Ja",1,0)</f>
        <v>1</v>
      </c>
      <c r="M8" s="28" t="n">
        <f aca="false">M6*IF(Invoer!M37="Ja",1,0)</f>
        <v>1</v>
      </c>
    </row>
    <row r="9" customFormat="false" ht="15" hidden="false" customHeight="false" outlineLevel="0" collapsed="false">
      <c r="A9" s="9" t="s">
        <v>53</v>
      </c>
      <c r="B9" s="19" t="s">
        <v>101</v>
      </c>
      <c r="C9" s="29" t="n">
        <f aca="false">Invoer!C10+C7*Invoer!C11</f>
        <v>225000</v>
      </c>
      <c r="D9" s="29" t="n">
        <f aca="false">Invoer!D10+D7*Invoer!D11</f>
        <v>225000</v>
      </c>
      <c r="E9" s="29" t="n">
        <f aca="false">Invoer!E10+E7*Invoer!E11</f>
        <v>225000</v>
      </c>
      <c r="F9" s="29" t="n">
        <f aca="false">Invoer!F10+F7*Invoer!F11</f>
        <v>225000</v>
      </c>
      <c r="G9" s="29" t="n">
        <f aca="false">Invoer!G10+G7*Invoer!G11</f>
        <v>60000</v>
      </c>
      <c r="H9" s="29" t="n">
        <f aca="false">Invoer!H10+H7*Invoer!H11</f>
        <v>150000</v>
      </c>
      <c r="I9" s="29" t="n">
        <f aca="false">Invoer!I10+I7*Invoer!I11</f>
        <v>225000</v>
      </c>
      <c r="J9" s="29" t="n">
        <f aca="false">Invoer!J10+J7*Invoer!J11</f>
        <v>225000</v>
      </c>
      <c r="K9" s="29" t="n">
        <f aca="false">Invoer!K10+K7*Invoer!K11</f>
        <v>225000</v>
      </c>
      <c r="L9" s="29" t="n">
        <f aca="false">Invoer!L10+L7*Invoer!L11</f>
        <v>225000</v>
      </c>
      <c r="M9" s="29" t="n">
        <f aca="false">Invoer!M10+M7*Invoer!M11</f>
        <v>225000</v>
      </c>
    </row>
    <row r="10" customFormat="false" ht="15" hidden="false" customHeight="false" outlineLevel="0" collapsed="false">
      <c r="A10" s="9" t="s">
        <v>174</v>
      </c>
      <c r="B10" s="19" t="s">
        <v>157</v>
      </c>
      <c r="C10" s="30" t="n">
        <f aca="false">IF(AND(Invoer!C19&lt;10,AFM_Toetsrente&gt;Invoer!C18),AFM_Toetsrente,Invoer!C18)</f>
        <v>0.0469</v>
      </c>
      <c r="D10" s="30" t="n">
        <f aca="false">IF(AND(Invoer!D19&lt;10,AFM_Toetsrente&gt;Invoer!D18),AFM_Toetsrente,Invoer!D18)</f>
        <v>0.0469</v>
      </c>
      <c r="E10" s="30" t="n">
        <f aca="false">IF(AND(Invoer!E19&lt;10,AFM_Toetsrente&gt;Invoer!E18),AFM_Toetsrente,Invoer!E18)</f>
        <v>0.0469</v>
      </c>
      <c r="F10" s="30" t="n">
        <f aca="false">IF(AND(Invoer!F19&lt;10,AFM_Toetsrente&gt;Invoer!F18),AFM_Toetsrente,Invoer!F18)</f>
        <v>0.05</v>
      </c>
      <c r="G10" s="30" t="n">
        <f aca="false">IF(AND(Invoer!G19&lt;10,AFM_Toetsrente&gt;Invoer!G18),AFM_Toetsrente,Invoer!G18)</f>
        <v>0.0469</v>
      </c>
      <c r="H10" s="30" t="n">
        <f aca="false">IF(AND(Invoer!H19&lt;10,AFM_Toetsrente&gt;Invoer!H18),AFM_Toetsrente,Invoer!H18)</f>
        <v>0.0469</v>
      </c>
      <c r="I10" s="30" t="n">
        <f aca="false">IF(AND(Invoer!I19&lt;10,AFM_Toetsrente&gt;Invoer!I18),AFM_Toetsrente,Invoer!I18)</f>
        <v>0.0469</v>
      </c>
      <c r="J10" s="30" t="n">
        <f aca="false">IF(AND(Invoer!J19&lt;10,AFM_Toetsrente&gt;Invoer!J18),AFM_Toetsrente,Invoer!J18)</f>
        <v>0.0469</v>
      </c>
      <c r="K10" s="30" t="n">
        <f aca="false">IF(AND(Invoer!K19&lt;10,AFM_Toetsrente&gt;Invoer!K18),AFM_Toetsrente,Invoer!K18)</f>
        <v>0.0469</v>
      </c>
      <c r="L10" s="30" t="n">
        <f aca="false">IF(AND(Invoer!L19&lt;10,AFM_Toetsrente&gt;Invoer!L18),AFM_Toetsrente,Invoer!L18)</f>
        <v>0.0469</v>
      </c>
      <c r="M10" s="30" t="n">
        <f aca="false">IF(AND(Invoer!M19&lt;10,AFM_Toetsrente&gt;Invoer!M18),AFM_Toetsrente,Invoer!M18)</f>
        <v>0.0469</v>
      </c>
    </row>
    <row r="11" customFormat="false" ht="15" hidden="false" customHeight="false" outlineLevel="0" collapsed="false">
      <c r="A11" s="9" t="s">
        <v>175</v>
      </c>
      <c r="B11" s="19"/>
      <c r="C11" s="31" t="n">
        <f aca="false">IF(C10=0,360,(1-(1+C10/12)^(-360))/(C10/12))</f>
        <v>193.036432302847</v>
      </c>
      <c r="D11" s="31" t="n">
        <f aca="false">IF(D10=0,360,(1-(1+D10/12)^(-360))/(D10/12))</f>
        <v>193.036432302847</v>
      </c>
      <c r="E11" s="31" t="n">
        <f aca="false">IF(E10=0,360,(1-(1+E10/12)^(-360))/(E10/12))</f>
        <v>193.036432302847</v>
      </c>
      <c r="F11" s="31" t="n">
        <f aca="false">IF(F10=0,360,(1-(1+F10/12)^(-360))/(F10/12))</f>
        <v>186.281617046075</v>
      </c>
      <c r="G11" s="31" t="n">
        <f aca="false">IF(G10=0,360,(1-(1+G10/12)^(-360))/(G10/12))</f>
        <v>193.036432302847</v>
      </c>
      <c r="H11" s="31" t="n">
        <f aca="false">IF(H10=0,360,(1-(1+H10/12)^(-360))/(H10/12))</f>
        <v>193.036432302847</v>
      </c>
      <c r="I11" s="31" t="n">
        <f aca="false">IF(I10=0,360,(1-(1+I10/12)^(-360))/(I10/12))</f>
        <v>193.036432302847</v>
      </c>
      <c r="J11" s="31" t="n">
        <f aca="false">IF(J10=0,360,(1-(1+J10/12)^(-360))/(J10/12))</f>
        <v>193.036432302847</v>
      </c>
      <c r="K11" s="31" t="n">
        <f aca="false">IF(K10=0,360,(1-(1+K10/12)^(-360))/(K10/12))</f>
        <v>193.036432302847</v>
      </c>
      <c r="L11" s="31" t="n">
        <f aca="false">IF(L10=0,360,(1-(1+L10/12)^(-360))/(L10/12))</f>
        <v>193.036432302847</v>
      </c>
      <c r="M11" s="31" t="n">
        <f aca="false">IF(M10=0,360,(1-(1+M10/12)^(-360))/(M10/12))</f>
        <v>193.036432302847</v>
      </c>
    </row>
    <row r="12" customFormat="false" ht="15" hidden="false" customHeight="false" outlineLevel="0" collapsed="false">
      <c r="A12" s="7" t="s">
        <v>176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</row>
    <row r="13" customFormat="false" ht="15" hidden="false" customHeight="false" outlineLevel="0" collapsed="false">
      <c r="A13" s="9" t="s">
        <v>177</v>
      </c>
      <c r="B13" s="19" t="s">
        <v>178</v>
      </c>
      <c r="C13" s="32" t="n">
        <f aca="false">(Invoer!C23+C7*Invoer!C24)*Weging_overig</f>
        <v>0</v>
      </c>
      <c r="D13" s="32" t="n">
        <f aca="false">(Invoer!D23+D7*Invoer!D24)*Weging_overig</f>
        <v>0</v>
      </c>
      <c r="E13" s="32" t="n">
        <f aca="false">(Invoer!E23+E7*Invoer!E24)*Weging_overig</f>
        <v>0</v>
      </c>
      <c r="F13" s="32" t="n">
        <f aca="false">(Invoer!F23+F7*Invoer!F24)*Weging_overig</f>
        <v>0</v>
      </c>
      <c r="G13" s="32" t="n">
        <f aca="false">(Invoer!G23+G7*Invoer!G24)*Weging_overig</f>
        <v>0</v>
      </c>
      <c r="H13" s="32" t="n">
        <f aca="false">(Invoer!H23+H7*Invoer!H24)*Weging_overig</f>
        <v>0</v>
      </c>
      <c r="I13" s="32" t="n">
        <f aca="false">(Invoer!I23+I7*Invoer!I24)*Weging_overig</f>
        <v>0</v>
      </c>
      <c r="J13" s="32" t="n">
        <f aca="false">(Invoer!J23+J7*Invoer!J24)*Weging_overig</f>
        <v>0</v>
      </c>
      <c r="K13" s="32" t="n">
        <f aca="false">(Invoer!K23+K7*Invoer!K24)*Weging_overig</f>
        <v>460</v>
      </c>
      <c r="L13" s="32" t="n">
        <f aca="false">(Invoer!L23+L7*Invoer!L24)*Weging_overig</f>
        <v>60000</v>
      </c>
      <c r="M13" s="32" t="n">
        <f aca="false">(Invoer!M23+M7*Invoer!M24)*Weging_overig</f>
        <v>0</v>
      </c>
    </row>
    <row r="14" customFormat="false" ht="15" hidden="false" customHeight="false" outlineLevel="0" collapsed="false">
      <c r="A14" s="9" t="s">
        <v>179</v>
      </c>
      <c r="B14" s="19"/>
      <c r="C14" s="28" t="n">
        <f aca="false">IF(Invoer!C30="Ja",1,0)</f>
        <v>1</v>
      </c>
      <c r="D14" s="28" t="n">
        <f aca="false">IF(Invoer!D30="Ja",1,0)</f>
        <v>1</v>
      </c>
      <c r="E14" s="28" t="n">
        <f aca="false">IF(Invoer!E30="Ja",1,0)</f>
        <v>1</v>
      </c>
      <c r="F14" s="28" t="n">
        <f aca="false">IF(Invoer!F30="Ja",1,0)</f>
        <v>1</v>
      </c>
      <c r="G14" s="28" t="n">
        <f aca="false">IF(Invoer!G30="Ja",1,0)</f>
        <v>0</v>
      </c>
      <c r="H14" s="28" t="n">
        <f aca="false">IF(Invoer!H30="Ja",1,0)</f>
        <v>0</v>
      </c>
      <c r="I14" s="28" t="n">
        <f aca="false">IF(Invoer!I30="Ja",1,0)</f>
        <v>1</v>
      </c>
      <c r="J14" s="28" t="n">
        <f aca="false">IF(Invoer!J30="Ja",1,0)</f>
        <v>0</v>
      </c>
      <c r="K14" s="28" t="n">
        <f aca="false">IF(Invoer!K30="Ja",1,0)</f>
        <v>1</v>
      </c>
      <c r="L14" s="28" t="n">
        <f aca="false">IF(Invoer!L30="Ja",1,0)</f>
        <v>0</v>
      </c>
      <c r="M14" s="28" t="n">
        <f aca="false">IF(Invoer!M30="Ja",1,0)</f>
        <v>1</v>
      </c>
    </row>
    <row r="15" customFormat="false" ht="15" hidden="false" customHeight="false" outlineLevel="0" collapsed="false">
      <c r="A15" s="9" t="s">
        <v>180</v>
      </c>
      <c r="B15" s="19" t="s">
        <v>157</v>
      </c>
      <c r="C15" s="30" t="n">
        <f aca="false">C14*IF(AND(Invoer!C35&lt;10,AFM_Toetsrente&gt;Invoer!C32),AFM_Toetsrente,Invoer!C32)</f>
        <v>0.01</v>
      </c>
      <c r="D15" s="30" t="n">
        <f aca="false">D14*IF(AND(Invoer!D35&lt;10,AFM_Toetsrente&gt;Invoer!D32),AFM_Toetsrente,Invoer!D32)</f>
        <v>0.01</v>
      </c>
      <c r="E15" s="30" t="n">
        <f aca="false">E14*IF(AND(Invoer!E35&lt;10,AFM_Toetsrente&gt;Invoer!E32),AFM_Toetsrente,Invoer!E32)</f>
        <v>0.01</v>
      </c>
      <c r="F15" s="30" t="n">
        <f aca="false">F14*IF(AND(Invoer!F35&lt;10,AFM_Toetsrente&gt;Invoer!F32),AFM_Toetsrente,Invoer!F32)</f>
        <v>0.01</v>
      </c>
      <c r="G15" s="30" t="n">
        <f aca="false">G14*IF(AND(Invoer!G35&lt;10,AFM_Toetsrente&gt;Invoer!G32),AFM_Toetsrente,Invoer!G32)</f>
        <v>0</v>
      </c>
      <c r="H15" s="30" t="n">
        <f aca="false">H14*IF(AND(Invoer!H35&lt;10,AFM_Toetsrente&gt;Invoer!H32),AFM_Toetsrente,Invoer!H32)</f>
        <v>0</v>
      </c>
      <c r="I15" s="30" t="n">
        <f aca="false">I14*IF(AND(Invoer!I35&lt;10,AFM_Toetsrente&gt;Invoer!I32),AFM_Toetsrente,Invoer!I32)</f>
        <v>0.01</v>
      </c>
      <c r="J15" s="30" t="n">
        <f aca="false">J14*IF(AND(Invoer!J35&lt;10,AFM_Toetsrente&gt;Invoer!J32),AFM_Toetsrente,Invoer!J32)</f>
        <v>0</v>
      </c>
      <c r="K15" s="30" t="n">
        <f aca="false">K14*IF(AND(Invoer!K35&lt;10,AFM_Toetsrente&gt;Invoer!K32),AFM_Toetsrente,Invoer!K32)</f>
        <v>0.05</v>
      </c>
      <c r="L15" s="30" t="n">
        <f aca="false">L14*IF(AND(Invoer!L35&lt;10,AFM_Toetsrente&gt;Invoer!L32),AFM_Toetsrente,Invoer!L32)</f>
        <v>0</v>
      </c>
      <c r="M15" s="30" t="n">
        <f aca="false">M14*IF(AND(Invoer!M35&lt;10,AFM_Toetsrente&gt;Invoer!M32),AFM_Toetsrente,Invoer!M32)</f>
        <v>0.01</v>
      </c>
    </row>
    <row r="16" customFormat="false" ht="15" hidden="false" customHeight="false" outlineLevel="0" collapsed="false">
      <c r="A16" s="9" t="s">
        <v>181</v>
      </c>
      <c r="B16" s="19" t="s">
        <v>182</v>
      </c>
      <c r="C16" s="28" t="n">
        <f aca="false">IF(Invoer!C33="Aflossingsvrij",360,MIN(360,MAX(1,ROUND(Invoer!C34*12,0))))</f>
        <v>240</v>
      </c>
      <c r="D16" s="28" t="n">
        <f aca="false">IF(Invoer!D33="Aflossingsvrij",360,MIN(360,MAX(1,ROUND(Invoer!D34*12,0))))</f>
        <v>240</v>
      </c>
      <c r="E16" s="28" t="n">
        <f aca="false">IF(Invoer!E33="Aflossingsvrij",360,MIN(360,MAX(1,ROUND(Invoer!E34*12,0))))</f>
        <v>240</v>
      </c>
      <c r="F16" s="28" t="n">
        <f aca="false">IF(Invoer!F33="Aflossingsvrij",360,MIN(360,MAX(1,ROUND(Invoer!F34*12,0))))</f>
        <v>240</v>
      </c>
      <c r="G16" s="28" t="n">
        <f aca="false">IF(Invoer!G33="Aflossingsvrij",360,MIN(360,MAX(1,ROUND(Invoer!G34*12,0))))</f>
        <v>240</v>
      </c>
      <c r="H16" s="28" t="n">
        <f aca="false">IF(Invoer!H33="Aflossingsvrij",360,MIN(360,MAX(1,ROUND(Invoer!H34*12,0))))</f>
        <v>240</v>
      </c>
      <c r="I16" s="28" t="n">
        <f aca="false">IF(Invoer!I33="Aflossingsvrij",360,MIN(360,MAX(1,ROUND(Invoer!I34*12,0))))</f>
        <v>240</v>
      </c>
      <c r="J16" s="28" t="n">
        <f aca="false">IF(Invoer!J33="Aflossingsvrij",360,MIN(360,MAX(1,ROUND(Invoer!J34*12,0))))</f>
        <v>240</v>
      </c>
      <c r="K16" s="28" t="n">
        <f aca="false">IF(Invoer!K33="Aflossingsvrij",360,MIN(360,MAX(1,ROUND(Invoer!K34*12,0))))</f>
        <v>360</v>
      </c>
      <c r="L16" s="28" t="n">
        <f aca="false">IF(Invoer!L33="Aflossingsvrij",360,MIN(360,MAX(1,ROUND(Invoer!L34*12,0))))</f>
        <v>240</v>
      </c>
      <c r="M16" s="28" t="n">
        <f aca="false">IF(Invoer!M33="Aflossingsvrij",360,MIN(360,MAX(1,ROUND(Invoer!M34*12,0))))</f>
        <v>240</v>
      </c>
    </row>
    <row r="17" customFormat="false" ht="15" hidden="false" customHeight="false" outlineLevel="0" collapsed="false">
      <c r="A17" s="9" t="s">
        <v>183</v>
      </c>
      <c r="B17" s="19" t="s">
        <v>178</v>
      </c>
      <c r="C17" s="32" t="n">
        <f aca="false">C14*IF(Invoer!C31&lt;=0,0,IF(C15=0,Invoer!C31/C16,Invoer!C31*(C15/12)/(1-(1+C15/12)^(-C16))))</f>
        <v>193.155608922294</v>
      </c>
      <c r="D17" s="32" t="n">
        <f aca="false">D14*IF(Invoer!D31&lt;=0,0,IF(D15=0,Invoer!D31/D16,Invoer!D31*(D15/12)/(1-(1+D15/12)^(-D16))))</f>
        <v>193.155608922294</v>
      </c>
      <c r="E17" s="32" t="n">
        <f aca="false">E14*IF(Invoer!E31&lt;=0,0,IF(E15=0,Invoer!E31/E16,Invoer!E31*(E15/12)/(1-(1+E15/12)^(-E16))))</f>
        <v>193.155608922294</v>
      </c>
      <c r="F17" s="32" t="n">
        <f aca="false">F14*IF(Invoer!F31&lt;=0,0,IF(F15=0,Invoer!F31/F16,Invoer!F31*(F15/12)/(1-(1+F15/12)^(-F16))))</f>
        <v>193.155608922294</v>
      </c>
      <c r="G17" s="32" t="n">
        <f aca="false">G14*IF(Invoer!G31&lt;=0,0,IF(G15=0,Invoer!G31/G16,Invoer!G31*(G15/12)/(1-(1+G15/12)^(-G16))))</f>
        <v>0</v>
      </c>
      <c r="H17" s="32" t="n">
        <f aca="false">H14*IF(Invoer!H31&lt;=0,0,IF(H15=0,Invoer!H31/H16,Invoer!H31*(H15/12)/(1-(1+H15/12)^(-H16))))</f>
        <v>0</v>
      </c>
      <c r="I17" s="32" t="n">
        <f aca="false">I14*IF(Invoer!I31&lt;=0,0,IF(I15=0,Invoer!I31/I16,Invoer!I31*(I15/12)/(1-(1+I15/12)^(-I16))))</f>
        <v>193.155608922294</v>
      </c>
      <c r="J17" s="32" t="n">
        <f aca="false">J14*IF(Invoer!J31&lt;=0,0,IF(J15=0,Invoer!J31/J16,Invoer!J31*(J15/12)/(1-(1+J15/12)^(-J16))))</f>
        <v>0</v>
      </c>
      <c r="K17" s="32" t="n">
        <f aca="false">K14*IF(Invoer!K31&lt;=0,0,IF(K15=0,Invoer!K31/K16,Invoer!K31*(K15/12)/(1-(1+K15/12)^(-K16))))</f>
        <v>225.465081665099</v>
      </c>
      <c r="L17" s="32" t="n">
        <f aca="false">L14*IF(Invoer!L31&lt;=0,0,IF(L15=0,Invoer!L31/L16,Invoer!L31*(L15/12)/(1-(1+L15/12)^(-L16))))</f>
        <v>0</v>
      </c>
      <c r="M17" s="32" t="n">
        <f aca="false">M14*IF(Invoer!M31&lt;=0,0,IF(M15=0,Invoer!M31/M16,Invoer!M31*(M15/12)/(1-(1+M15/12)^(-M16))))</f>
        <v>193.155608922294</v>
      </c>
    </row>
    <row r="18" customFormat="false" ht="15" hidden="false" customHeight="false" outlineLevel="0" collapsed="false">
      <c r="A18" s="5" t="s">
        <v>184</v>
      </c>
      <c r="B18" s="19" t="s">
        <v>178</v>
      </c>
      <c r="C18" s="33" t="n">
        <f aca="false">C13+C17+Invoer!C25</f>
        <v>193.155608922294</v>
      </c>
      <c r="D18" s="33" t="n">
        <f aca="false">D13+D17+Invoer!D25</f>
        <v>193.155608922294</v>
      </c>
      <c r="E18" s="33" t="n">
        <f aca="false">E13+E17+Invoer!E25</f>
        <v>193.155608922294</v>
      </c>
      <c r="F18" s="33" t="n">
        <f aca="false">F13+F17+Invoer!F25</f>
        <v>193.155608922294</v>
      </c>
      <c r="G18" s="33" t="n">
        <f aca="false">G13+G17+Invoer!G25</f>
        <v>0</v>
      </c>
      <c r="H18" s="33" t="n">
        <f aca="false">H13+H17+Invoer!H25</f>
        <v>0</v>
      </c>
      <c r="I18" s="33" t="n">
        <f aca="false">I13+I17+Invoer!I25</f>
        <v>193.155608922294</v>
      </c>
      <c r="J18" s="33" t="n">
        <f aca="false">J13+J17+Invoer!J25</f>
        <v>0</v>
      </c>
      <c r="K18" s="33" t="n">
        <f aca="false">K13+K17+Invoer!K25</f>
        <v>935.465081665099</v>
      </c>
      <c r="L18" s="33" t="n">
        <f aca="false">L13+L17+Invoer!L25</f>
        <v>60000</v>
      </c>
      <c r="M18" s="33" t="n">
        <f aca="false">M13+M17+Invoer!M25</f>
        <v>193.155608922294</v>
      </c>
    </row>
    <row r="19" customFormat="false" ht="15" hidden="false" customHeight="false" outlineLevel="0" collapsed="false">
      <c r="A19" s="7" t="s">
        <v>185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</row>
    <row r="20" customFormat="false" ht="15" hidden="false" customHeight="false" outlineLevel="0" collapsed="false">
      <c r="A20" s="9" t="s">
        <v>186</v>
      </c>
      <c r="B20" s="19" t="s">
        <v>182</v>
      </c>
      <c r="C20" s="28" t="n">
        <f aca="false">IFERROR(DATEDIF(Invoer!C39,Invoer!C40,"m"),0)</f>
        <v>68</v>
      </c>
      <c r="D20" s="28" t="n">
        <f aca="false">IFERROR(DATEDIF(Invoer!D39,Invoer!D40,"m"),0)</f>
        <v>68</v>
      </c>
      <c r="E20" s="28" t="n">
        <f aca="false">IFERROR(DATEDIF(Invoer!E39,Invoer!E40,"m"),0)</f>
        <v>68</v>
      </c>
      <c r="F20" s="28" t="n">
        <f aca="false">IFERROR(DATEDIF(Invoer!F39,Invoer!F40,"m"),0)</f>
        <v>68</v>
      </c>
      <c r="G20" s="28" t="n">
        <f aca="false">IFERROR(DATEDIF(Invoer!G39,Invoer!G40,"m"),0)</f>
        <v>68</v>
      </c>
      <c r="H20" s="28" t="n">
        <f aca="false">IFERROR(DATEDIF(Invoer!H39,Invoer!H40,"m"),0)</f>
        <v>68</v>
      </c>
      <c r="I20" s="28" t="n">
        <f aca="false">IFERROR(DATEDIF(Invoer!I39,Invoer!I40,"m"),0)</f>
        <v>68</v>
      </c>
      <c r="J20" s="28" t="n">
        <f aca="false">IFERROR(DATEDIF(Invoer!J39,Invoer!J40,"m"),0)</f>
        <v>68</v>
      </c>
      <c r="K20" s="28" t="n">
        <f aca="false">IFERROR(DATEDIF(Invoer!K39,Invoer!K40,"m"),0)</f>
        <v>68</v>
      </c>
      <c r="L20" s="28" t="n">
        <f aca="false">IFERROR(DATEDIF(Invoer!L39,Invoer!L40,"m"),0)</f>
        <v>68</v>
      </c>
      <c r="M20" s="28" t="n">
        <f aca="false">IFERROR(DATEDIF(Invoer!M39,Invoer!M40,"m"),0)</f>
        <v>68</v>
      </c>
    </row>
    <row r="21" customFormat="false" ht="15" hidden="false" customHeight="false" outlineLevel="0" collapsed="false">
      <c r="A21" s="9" t="s">
        <v>187</v>
      </c>
      <c r="B21" s="19" t="s">
        <v>182</v>
      </c>
      <c r="C21" s="28" t="n">
        <f aca="false">MAX(1,360-C20)</f>
        <v>292</v>
      </c>
      <c r="D21" s="28" t="n">
        <f aca="false">MAX(1,360-D20)</f>
        <v>292</v>
      </c>
      <c r="E21" s="28" t="n">
        <f aca="false">MAX(1,360-E20)</f>
        <v>292</v>
      </c>
      <c r="F21" s="28" t="n">
        <f aca="false">MAX(1,360-F20)</f>
        <v>292</v>
      </c>
      <c r="G21" s="28" t="n">
        <f aca="false">MAX(1,360-G20)</f>
        <v>292</v>
      </c>
      <c r="H21" s="28" t="n">
        <f aca="false">MAX(1,360-H20)</f>
        <v>292</v>
      </c>
      <c r="I21" s="28" t="n">
        <f aca="false">MAX(1,360-I20)</f>
        <v>292</v>
      </c>
      <c r="J21" s="28" t="n">
        <f aca="false">MAX(1,360-J20)</f>
        <v>292</v>
      </c>
      <c r="K21" s="28" t="n">
        <f aca="false">MAX(1,360-K20)</f>
        <v>292</v>
      </c>
      <c r="L21" s="28" t="n">
        <f aca="false">MAX(1,360-L20)</f>
        <v>292</v>
      </c>
      <c r="M21" s="28" t="n">
        <f aca="false">MAX(1,360-M20)</f>
        <v>292</v>
      </c>
    </row>
    <row r="22" customFormat="false" ht="15" hidden="false" customHeight="false" outlineLevel="0" collapsed="false">
      <c r="A22" s="9" t="s">
        <v>188</v>
      </c>
      <c r="B22" s="19" t="s">
        <v>101</v>
      </c>
      <c r="C22" s="32" t="n">
        <f aca="false">Invoer!C43</f>
        <v>269480.64</v>
      </c>
      <c r="D22" s="32" t="n">
        <f aca="false">Invoer!D43</f>
        <v>269480.64</v>
      </c>
      <c r="E22" s="32" t="n">
        <f aca="false">Invoer!E43</f>
        <v>269480.64</v>
      </c>
      <c r="F22" s="32" t="n">
        <f aca="false">Invoer!F43</f>
        <v>269480.64</v>
      </c>
      <c r="G22" s="32" t="n">
        <f aca="false">Invoer!G43</f>
        <v>269480.64</v>
      </c>
      <c r="H22" s="32" t="n">
        <f aca="false">Invoer!H43</f>
        <v>269480.64</v>
      </c>
      <c r="I22" s="32" t="n">
        <f aca="false">Invoer!I43</f>
        <v>269480.64</v>
      </c>
      <c r="J22" s="32" t="n">
        <f aca="false">Invoer!J43</f>
        <v>269480.64</v>
      </c>
      <c r="K22" s="32" t="n">
        <f aca="false">Invoer!K43</f>
        <v>180000</v>
      </c>
      <c r="L22" s="32" t="n">
        <f aca="false">Invoer!L43</f>
        <v>269480.64</v>
      </c>
      <c r="M22" s="32" t="n">
        <f aca="false">Invoer!M43</f>
        <v>269480.64</v>
      </c>
    </row>
    <row r="23" customFormat="false" ht="15" hidden="false" customHeight="false" outlineLevel="0" collapsed="false">
      <c r="A23" s="9" t="s">
        <v>189</v>
      </c>
      <c r="B23" s="19" t="s">
        <v>182</v>
      </c>
      <c r="C23" s="28" t="n">
        <f aca="false">MAX(0,Invoer!C45*12-C20)</f>
        <v>52</v>
      </c>
      <c r="D23" s="28" t="n">
        <f aca="false">MAX(0,Invoer!D45*12-D20)</f>
        <v>52</v>
      </c>
      <c r="E23" s="28" t="n">
        <f aca="false">MAX(0,Invoer!E45*12-E20)</f>
        <v>52</v>
      </c>
      <c r="F23" s="28" t="n">
        <f aca="false">MAX(0,Invoer!F45*12-F20)</f>
        <v>52</v>
      </c>
      <c r="G23" s="28" t="n">
        <f aca="false">MAX(0,Invoer!G45*12-G20)</f>
        <v>52</v>
      </c>
      <c r="H23" s="28" t="n">
        <f aca="false">MAX(0,Invoer!H45*12-H20)</f>
        <v>52</v>
      </c>
      <c r="I23" s="28" t="n">
        <f aca="false">MAX(0,Invoer!I45*12-I20)</f>
        <v>52</v>
      </c>
      <c r="J23" s="28" t="n">
        <f aca="false">MAX(0,Invoer!J45*12-J20)</f>
        <v>52</v>
      </c>
      <c r="K23" s="28" t="n">
        <f aca="false">MAX(0,Invoer!K45*12-K20)</f>
        <v>76</v>
      </c>
      <c r="L23" s="28" t="n">
        <f aca="false">MAX(0,Invoer!L45*12-L20)</f>
        <v>52</v>
      </c>
      <c r="M23" s="28" t="n">
        <f aca="false">MAX(0,Invoer!M45*12-M20)</f>
        <v>52</v>
      </c>
    </row>
    <row r="24" customFormat="false" ht="15" hidden="false" customHeight="false" outlineLevel="0" collapsed="false">
      <c r="A24" s="9" t="s">
        <v>190</v>
      </c>
      <c r="B24" s="19" t="s">
        <v>157</v>
      </c>
      <c r="C24" s="30" t="n">
        <f aca="false">IF(C22&gt;0,IF(C23&lt;120,MAX(AFM_Toetsrente,Invoer!C44),Invoer!C44),0)</f>
        <v>0.05</v>
      </c>
      <c r="D24" s="30" t="n">
        <f aca="false">IF(D22&gt;0,IF(D23&lt;120,MAX(AFM_Toetsrente,Invoer!D44),Invoer!D44),0)</f>
        <v>0.05</v>
      </c>
      <c r="E24" s="30" t="n">
        <f aca="false">IF(E22&gt;0,IF(E23&lt;120,MAX(AFM_Toetsrente,Invoer!E44),Invoer!E44),0)</f>
        <v>0.05</v>
      </c>
      <c r="F24" s="30" t="n">
        <f aca="false">IF(F22&gt;0,IF(F23&lt;120,MAX(AFM_Toetsrente,Invoer!F44),Invoer!F44),0)</f>
        <v>0.05</v>
      </c>
      <c r="G24" s="30" t="n">
        <f aca="false">IF(G22&gt;0,IF(G23&lt;120,MAX(AFM_Toetsrente,Invoer!G44),Invoer!G44),0)</f>
        <v>0.05</v>
      </c>
      <c r="H24" s="30" t="n">
        <f aca="false">IF(H22&gt;0,IF(H23&lt;120,MAX(AFM_Toetsrente,Invoer!H44),Invoer!H44),0)</f>
        <v>0.05</v>
      </c>
      <c r="I24" s="30" t="n">
        <f aca="false">IF(I22&gt;0,IF(I23&lt;120,MAX(AFM_Toetsrente,Invoer!I44),Invoer!I44),0)</f>
        <v>0.05</v>
      </c>
      <c r="J24" s="30" t="n">
        <f aca="false">IF(J22&gt;0,IF(J23&lt;120,MAX(AFM_Toetsrente,Invoer!J44),Invoer!J44),0)</f>
        <v>0.05</v>
      </c>
      <c r="K24" s="30" t="n">
        <f aca="false">IF(K22&gt;0,IF(K23&lt;120,MAX(AFM_Toetsrente,Invoer!K44),Invoer!K44),0)</f>
        <v>0.05</v>
      </c>
      <c r="L24" s="30" t="n">
        <f aca="false">IF(L22&gt;0,IF(L23&lt;120,MAX(AFM_Toetsrente,Invoer!L44),Invoer!L44),0)</f>
        <v>0.05</v>
      </c>
      <c r="M24" s="30" t="n">
        <f aca="false">IF(M22&gt;0,IF(M23&lt;120,MAX(AFM_Toetsrente,Invoer!M44),Invoer!M44),0)</f>
        <v>0.05</v>
      </c>
    </row>
    <row r="25" customFormat="false" ht="15" hidden="false" customHeight="false" outlineLevel="0" collapsed="false">
      <c r="A25" s="9" t="s">
        <v>191</v>
      </c>
      <c r="B25" s="19" t="s">
        <v>182</v>
      </c>
      <c r="C25" s="28" t="n">
        <f aca="false">IF(OR(Invoer!C42="Aflossingsvrij",Invoer!C38="30 jaar"),360,C21)</f>
        <v>292</v>
      </c>
      <c r="D25" s="28" t="n">
        <f aca="false">IF(OR(Invoer!D42="Aflossingsvrij",Invoer!D38="30 jaar"),360,D21)</f>
        <v>360</v>
      </c>
      <c r="E25" s="28" t="n">
        <f aca="false">IF(OR(Invoer!E42="Aflossingsvrij",Invoer!E38="30 jaar"),360,E21)</f>
        <v>292</v>
      </c>
      <c r="F25" s="28" t="n">
        <f aca="false">IF(OR(Invoer!F42="Aflossingsvrij",Invoer!F38="30 jaar"),360,F21)</f>
        <v>292</v>
      </c>
      <c r="G25" s="28" t="n">
        <f aca="false">IF(OR(Invoer!G42="Aflossingsvrij",Invoer!G38="30 jaar"),360,G21)</f>
        <v>292</v>
      </c>
      <c r="H25" s="28" t="n">
        <f aca="false">IF(OR(Invoer!H42="Aflossingsvrij",Invoer!H38="30 jaar"),360,H21)</f>
        <v>292</v>
      </c>
      <c r="I25" s="28" t="n">
        <f aca="false">IF(OR(Invoer!I42="Aflossingsvrij",Invoer!I38="30 jaar"),360,I21)</f>
        <v>292</v>
      </c>
      <c r="J25" s="28" t="n">
        <f aca="false">IF(OR(Invoer!J42="Aflossingsvrij",Invoer!J38="30 jaar"),360,J21)</f>
        <v>292</v>
      </c>
      <c r="K25" s="28" t="n">
        <f aca="false">IF(OR(Invoer!K42="Aflossingsvrij",Invoer!K38="30 jaar"),360,K21)</f>
        <v>292</v>
      </c>
      <c r="L25" s="28" t="n">
        <f aca="false">IF(OR(Invoer!L42="Aflossingsvrij",Invoer!L38="30 jaar"),360,L21)</f>
        <v>292</v>
      </c>
      <c r="M25" s="28" t="n">
        <f aca="false">IF(OR(Invoer!M42="Aflossingsvrij",Invoer!M38="30 jaar"),360,M21)</f>
        <v>292</v>
      </c>
    </row>
    <row r="26" customFormat="false" ht="15" hidden="false" customHeight="false" outlineLevel="0" collapsed="false">
      <c r="A26" s="9" t="s">
        <v>192</v>
      </c>
      <c r="B26" s="19" t="s">
        <v>178</v>
      </c>
      <c r="C26" s="32" t="n">
        <f aca="false">IF(C22&lt;=0,0,IF(C24=0,C22/C25,C22*(C24/12)/(1-(1+C24/12)^(-C25))))</f>
        <v>1597.12811205406</v>
      </c>
      <c r="D26" s="32" t="n">
        <f aca="false">IF(D22&lt;=0,0,IF(D24=0,D22/D25,D22*(D24/12)/(1-(1+D24/12)^(-D25))))</f>
        <v>1446.6303453515</v>
      </c>
      <c r="E26" s="32" t="n">
        <f aca="false">IF(E22&lt;=0,0,IF(E24=0,E22/E25,E22*(E24/12)/(1-(1+E24/12)^(-E25))))</f>
        <v>1597.12811205406</v>
      </c>
      <c r="F26" s="32" t="n">
        <f aca="false">IF(F22&lt;=0,0,IF(F24=0,F22/F25,F22*(F24/12)/(1-(1+F24/12)^(-F25))))</f>
        <v>1597.12811205406</v>
      </c>
      <c r="G26" s="32" t="n">
        <f aca="false">IF(G22&lt;=0,0,IF(G24=0,G22/G25,G22*(G24/12)/(1-(1+G24/12)^(-G25))))</f>
        <v>1597.12811205406</v>
      </c>
      <c r="H26" s="32" t="n">
        <f aca="false">IF(H22&lt;=0,0,IF(H24=0,H22/H25,H22*(H24/12)/(1-(1+H24/12)^(-H25))))</f>
        <v>1597.12811205406</v>
      </c>
      <c r="I26" s="32" t="n">
        <f aca="false">IF(I22&lt;=0,0,IF(I24=0,I22/I25,I22*(I24/12)/(1-(1+I24/12)^(-I25))))</f>
        <v>1597.12811205406</v>
      </c>
      <c r="J26" s="32" t="n">
        <f aca="false">IF(J22&lt;=0,0,IF(J24=0,J22/J25,J22*(J24/12)/(1-(1+J24/12)^(-J25))))</f>
        <v>1597.12811205406</v>
      </c>
      <c r="K26" s="32" t="n">
        <f aca="false">IF(K22&lt;=0,0,IF(K24=0,K22/K25,K22*(K24/12)/(1-(1+K24/12)^(-K25))))</f>
        <v>1066.80413171696</v>
      </c>
      <c r="L26" s="32" t="n">
        <f aca="false">IF(L22&lt;=0,0,IF(L24=0,L22/L25,L22*(L24/12)/(1-(1+L24/12)^(-L25))))</f>
        <v>1597.12811205406</v>
      </c>
      <c r="M26" s="32" t="n">
        <f aca="false">IF(M22&lt;=0,0,IF(M24=0,M22/M25,M22*(M24/12)/(1-(1+M24/12)^(-M25))))</f>
        <v>1597.12811205406</v>
      </c>
    </row>
    <row r="27" customFormat="false" ht="15" hidden="false" customHeight="false" outlineLevel="0" collapsed="false">
      <c r="A27" s="9" t="s">
        <v>193</v>
      </c>
      <c r="B27" s="19" t="s">
        <v>101</v>
      </c>
      <c r="C27" s="32" t="n">
        <f aca="false">Invoer!C48</f>
        <v>354269.27</v>
      </c>
      <c r="D27" s="32" t="n">
        <f aca="false">Invoer!D48</f>
        <v>354269.27</v>
      </c>
      <c r="E27" s="32" t="n">
        <f aca="false">Invoer!E48</f>
        <v>354269.27</v>
      </c>
      <c r="F27" s="32" t="n">
        <f aca="false">Invoer!F48</f>
        <v>354269.27</v>
      </c>
      <c r="G27" s="32" t="n">
        <f aca="false">Invoer!G48</f>
        <v>354269.27</v>
      </c>
      <c r="H27" s="32" t="n">
        <f aca="false">Invoer!H48</f>
        <v>354269.27</v>
      </c>
      <c r="I27" s="32" t="n">
        <f aca="false">Invoer!I48</f>
        <v>354269.27</v>
      </c>
      <c r="J27" s="32" t="n">
        <f aca="false">Invoer!J48</f>
        <v>354269.27</v>
      </c>
      <c r="K27" s="32" t="n">
        <f aca="false">Invoer!K48</f>
        <v>220000</v>
      </c>
      <c r="L27" s="32" t="n">
        <f aca="false">Invoer!L48</f>
        <v>354269.27</v>
      </c>
      <c r="M27" s="32" t="n">
        <f aca="false">Invoer!M48</f>
        <v>354269.27</v>
      </c>
    </row>
    <row r="28" customFormat="false" ht="15" hidden="false" customHeight="false" outlineLevel="0" collapsed="false">
      <c r="A28" s="9" t="s">
        <v>194</v>
      </c>
      <c r="B28" s="19" t="s">
        <v>182</v>
      </c>
      <c r="C28" s="28" t="n">
        <f aca="false">MAX(0,Invoer!C50*12-C20)</f>
        <v>172</v>
      </c>
      <c r="D28" s="28" t="n">
        <f aca="false">MAX(0,Invoer!D50*12-D20)</f>
        <v>172</v>
      </c>
      <c r="E28" s="28" t="n">
        <f aca="false">MAX(0,Invoer!E50*12-E20)</f>
        <v>52</v>
      </c>
      <c r="F28" s="28" t="n">
        <f aca="false">MAX(0,Invoer!F50*12-F20)</f>
        <v>172</v>
      </c>
      <c r="G28" s="28" t="n">
        <f aca="false">MAX(0,Invoer!G50*12-G20)</f>
        <v>172</v>
      </c>
      <c r="H28" s="28" t="n">
        <f aca="false">MAX(0,Invoer!H50*12-H20)</f>
        <v>172</v>
      </c>
      <c r="I28" s="28" t="n">
        <f aca="false">MAX(0,Invoer!I50*12-I20)</f>
        <v>172</v>
      </c>
      <c r="J28" s="28" t="n">
        <f aca="false">MAX(0,Invoer!J50*12-J20)</f>
        <v>172</v>
      </c>
      <c r="K28" s="28" t="n">
        <f aca="false">MAX(0,Invoer!K50*12-K20)</f>
        <v>0</v>
      </c>
      <c r="L28" s="28" t="n">
        <f aca="false">MAX(0,Invoer!L50*12-L20)</f>
        <v>172</v>
      </c>
      <c r="M28" s="28" t="n">
        <f aca="false">MAX(0,Invoer!M50*12-M20)</f>
        <v>172</v>
      </c>
    </row>
    <row r="29" customFormat="false" ht="15" hidden="false" customHeight="false" outlineLevel="0" collapsed="false">
      <c r="A29" s="9" t="s">
        <v>195</v>
      </c>
      <c r="B29" s="19" t="s">
        <v>157</v>
      </c>
      <c r="C29" s="30" t="n">
        <f aca="false">IF(C27&gt;0,IF(C28&lt;120,MAX(AFM_Toetsrente,Invoer!C49),Invoer!C49),0)</f>
        <v>0.0185</v>
      </c>
      <c r="D29" s="30" t="n">
        <f aca="false">IF(D27&gt;0,IF(D28&lt;120,MAX(AFM_Toetsrente,Invoer!D49),Invoer!D49),0)</f>
        <v>0.0185</v>
      </c>
      <c r="E29" s="30" t="n">
        <f aca="false">IF(E27&gt;0,IF(E28&lt;120,MAX(AFM_Toetsrente,Invoer!E49),Invoer!E49),0)</f>
        <v>0.05</v>
      </c>
      <c r="F29" s="30" t="n">
        <f aca="false">IF(F27&gt;0,IF(F28&lt;120,MAX(AFM_Toetsrente,Invoer!F49),Invoer!F49),0)</f>
        <v>0.0185</v>
      </c>
      <c r="G29" s="30" t="n">
        <f aca="false">IF(G27&gt;0,IF(G28&lt;120,MAX(AFM_Toetsrente,Invoer!G49),Invoer!G49),0)</f>
        <v>0.0185</v>
      </c>
      <c r="H29" s="30" t="n">
        <f aca="false">IF(H27&gt;0,IF(H28&lt;120,MAX(AFM_Toetsrente,Invoer!H49),Invoer!H49),0)</f>
        <v>0.0185</v>
      </c>
      <c r="I29" s="30" t="n">
        <f aca="false">IF(I27&gt;0,IF(I28&lt;120,MAX(AFM_Toetsrente,Invoer!I49),Invoer!I49),0)</f>
        <v>0.0185</v>
      </c>
      <c r="J29" s="30" t="n">
        <f aca="false">IF(J27&gt;0,IF(J28&lt;120,MAX(AFM_Toetsrente,Invoer!J49),Invoer!J49),0)</f>
        <v>0.0185</v>
      </c>
      <c r="K29" s="30" t="n">
        <f aca="false">IF(K27&gt;0,IF(K28&lt;120,MAX(AFM_Toetsrente,Invoer!K49),Invoer!K49),0)</f>
        <v>0.05</v>
      </c>
      <c r="L29" s="30" t="n">
        <f aca="false">IF(L27&gt;0,IF(L28&lt;120,MAX(AFM_Toetsrente,Invoer!L49),Invoer!L49),0)</f>
        <v>0.0185</v>
      </c>
      <c r="M29" s="30" t="n">
        <f aca="false">IF(M27&gt;0,IF(M28&lt;120,MAX(AFM_Toetsrente,Invoer!M49),Invoer!M49),0)</f>
        <v>0.0185</v>
      </c>
    </row>
    <row r="30" customFormat="false" ht="15" hidden="false" customHeight="false" outlineLevel="0" collapsed="false">
      <c r="A30" s="9" t="s">
        <v>196</v>
      </c>
      <c r="B30" s="19" t="s">
        <v>182</v>
      </c>
      <c r="C30" s="28" t="n">
        <f aca="false">IF(OR(Invoer!C47="Aflossingsvrij",Invoer!C38="30 jaar"),360,C21)</f>
        <v>360</v>
      </c>
      <c r="D30" s="28" t="n">
        <f aca="false">IF(OR(Invoer!D47="Aflossingsvrij",Invoer!D38="30 jaar"),360,D21)</f>
        <v>360</v>
      </c>
      <c r="E30" s="28" t="n">
        <f aca="false">IF(OR(Invoer!E47="Aflossingsvrij",Invoer!E38="30 jaar"),360,E21)</f>
        <v>360</v>
      </c>
      <c r="F30" s="28" t="n">
        <f aca="false">IF(OR(Invoer!F47="Aflossingsvrij",Invoer!F38="30 jaar"),360,F21)</f>
        <v>360</v>
      </c>
      <c r="G30" s="28" t="n">
        <f aca="false">IF(OR(Invoer!G47="Aflossingsvrij",Invoer!G38="30 jaar"),360,G21)</f>
        <v>360</v>
      </c>
      <c r="H30" s="28" t="n">
        <f aca="false">IF(OR(Invoer!H47="Aflossingsvrij",Invoer!H38="30 jaar"),360,H21)</f>
        <v>360</v>
      </c>
      <c r="I30" s="28" t="n">
        <f aca="false">IF(OR(Invoer!I47="Aflossingsvrij",Invoer!I38="30 jaar"),360,I21)</f>
        <v>360</v>
      </c>
      <c r="J30" s="28" t="n">
        <f aca="false">IF(OR(Invoer!J47="Aflossingsvrij",Invoer!J38="30 jaar"),360,J21)</f>
        <v>360</v>
      </c>
      <c r="K30" s="28" t="n">
        <f aca="false">IF(OR(Invoer!K47="Aflossingsvrij",Invoer!K38="30 jaar"),360,K21)</f>
        <v>292</v>
      </c>
      <c r="L30" s="28" t="n">
        <f aca="false">IF(OR(Invoer!L47="Aflossingsvrij",Invoer!L38="30 jaar"),360,L21)</f>
        <v>360</v>
      </c>
      <c r="M30" s="28" t="n">
        <f aca="false">IF(OR(Invoer!M47="Aflossingsvrij",Invoer!M38="30 jaar"),360,M21)</f>
        <v>360</v>
      </c>
    </row>
    <row r="31" customFormat="false" ht="15" hidden="false" customHeight="false" outlineLevel="0" collapsed="false">
      <c r="A31" s="9" t="s">
        <v>197</v>
      </c>
      <c r="B31" s="19" t="s">
        <v>178</v>
      </c>
      <c r="C31" s="32" t="n">
        <f aca="false">IF(C27&lt;=0,0,IF(C29=0,C27/C30,C27*(C29/12)/(1-(1+C29/12)^(-C30))))</f>
        <v>1283.03448169749</v>
      </c>
      <c r="D31" s="32" t="n">
        <f aca="false">IF(D27&lt;=0,0,IF(D29=0,D27/D30,D27*(D29/12)/(1-(1+D29/12)^(-D30))))</f>
        <v>1283.03448169749</v>
      </c>
      <c r="E31" s="32" t="n">
        <f aca="false">IF(E27&lt;=0,0,IF(E29=0,E27/E30,E27*(E29/12)/(1-(1+E29/12)^(-E30))))</f>
        <v>1901.79404504726</v>
      </c>
      <c r="F31" s="32" t="n">
        <f aca="false">IF(F27&lt;=0,0,IF(F29=0,F27/F30,F27*(F29/12)/(1-(1+F29/12)^(-F30))))</f>
        <v>1283.03448169749</v>
      </c>
      <c r="G31" s="32" t="n">
        <f aca="false">IF(G27&lt;=0,0,IF(G29=0,G27/G30,G27*(G29/12)/(1-(1+G29/12)^(-G30))))</f>
        <v>1283.03448169749</v>
      </c>
      <c r="H31" s="32" t="n">
        <f aca="false">IF(H27&lt;=0,0,IF(H29=0,H27/H30,H27*(H29/12)/(1-(1+H29/12)^(-H30))))</f>
        <v>1283.03448169749</v>
      </c>
      <c r="I31" s="32" t="n">
        <f aca="false">IF(I27&lt;=0,0,IF(I29=0,I27/I30,I27*(I29/12)/(1-(1+I29/12)^(-I30))))</f>
        <v>1283.03448169749</v>
      </c>
      <c r="J31" s="32" t="n">
        <f aca="false">IF(J27&lt;=0,0,IF(J29=0,J27/J30,J27*(J29/12)/(1-(1+J29/12)^(-J30))))</f>
        <v>1283.03448169749</v>
      </c>
      <c r="K31" s="32" t="n">
        <f aca="false">IF(K27&lt;=0,0,IF(K29=0,K27/K30,K27*(K29/12)/(1-(1+K29/12)^(-K30))))</f>
        <v>1303.87171654296</v>
      </c>
      <c r="L31" s="32" t="n">
        <f aca="false">IF(L27&lt;=0,0,IF(L29=0,L27/L30,L27*(L29/12)/(1-(1+L29/12)^(-L30))))</f>
        <v>1283.03448169749</v>
      </c>
      <c r="M31" s="32" t="n">
        <f aca="false">IF(M27&lt;=0,0,IF(M29=0,M27/M30,M27*(M29/12)/(1-(1+M29/12)^(-M30))))</f>
        <v>1283.03448169749</v>
      </c>
    </row>
    <row r="32" customFormat="false" ht="15" hidden="false" customHeight="false" outlineLevel="0" collapsed="false">
      <c r="A32" s="9" t="s">
        <v>198</v>
      </c>
      <c r="B32" s="19" t="s">
        <v>101</v>
      </c>
      <c r="C32" s="32" t="n">
        <f aca="false">Invoer!C53</f>
        <v>0</v>
      </c>
      <c r="D32" s="32" t="n">
        <f aca="false">Invoer!D53</f>
        <v>0</v>
      </c>
      <c r="E32" s="32" t="n">
        <f aca="false">Invoer!E53</f>
        <v>0</v>
      </c>
      <c r="F32" s="32" t="n">
        <f aca="false">Invoer!F53</f>
        <v>0</v>
      </c>
      <c r="G32" s="32" t="n">
        <f aca="false">Invoer!G53</f>
        <v>0</v>
      </c>
      <c r="H32" s="32" t="n">
        <f aca="false">Invoer!H53</f>
        <v>0</v>
      </c>
      <c r="I32" s="32" t="n">
        <f aca="false">Invoer!I53</f>
        <v>0</v>
      </c>
      <c r="J32" s="32" t="n">
        <f aca="false">Invoer!J53</f>
        <v>0</v>
      </c>
      <c r="K32" s="32" t="n">
        <f aca="false">Invoer!K53</f>
        <v>150000</v>
      </c>
      <c r="L32" s="32" t="n">
        <f aca="false">Invoer!L53</f>
        <v>0</v>
      </c>
      <c r="M32" s="32" t="n">
        <f aca="false">Invoer!M53</f>
        <v>0</v>
      </c>
    </row>
    <row r="33" customFormat="false" ht="15" hidden="false" customHeight="false" outlineLevel="0" collapsed="false">
      <c r="A33" s="9" t="s">
        <v>199</v>
      </c>
      <c r="B33" s="19" t="s">
        <v>182</v>
      </c>
      <c r="C33" s="28" t="n">
        <f aca="false">MAX(0,Invoer!C55*12-C20)</f>
        <v>52</v>
      </c>
      <c r="D33" s="28" t="n">
        <f aca="false">MAX(0,Invoer!D55*12-D20)</f>
        <v>52</v>
      </c>
      <c r="E33" s="28" t="n">
        <f aca="false">MAX(0,Invoer!E55*12-E20)</f>
        <v>52</v>
      </c>
      <c r="F33" s="28" t="n">
        <f aca="false">MAX(0,Invoer!F55*12-F20)</f>
        <v>52</v>
      </c>
      <c r="G33" s="28" t="n">
        <f aca="false">MAX(0,Invoer!G55*12-G20)</f>
        <v>52</v>
      </c>
      <c r="H33" s="28" t="n">
        <f aca="false">MAX(0,Invoer!H55*12-H20)</f>
        <v>52</v>
      </c>
      <c r="I33" s="28" t="n">
        <f aca="false">MAX(0,Invoer!I55*12-I20)</f>
        <v>52</v>
      </c>
      <c r="J33" s="28" t="n">
        <f aca="false">MAX(0,Invoer!J55*12-J20)</f>
        <v>52</v>
      </c>
      <c r="K33" s="28" t="n">
        <f aca="false">MAX(0,Invoer!K55*12-K20)</f>
        <v>0</v>
      </c>
      <c r="L33" s="28" t="n">
        <f aca="false">MAX(0,Invoer!L55*12-L20)</f>
        <v>52</v>
      </c>
      <c r="M33" s="28" t="n">
        <f aca="false">MAX(0,Invoer!M55*12-M20)</f>
        <v>52</v>
      </c>
    </row>
    <row r="34" customFormat="false" ht="15" hidden="false" customHeight="false" outlineLevel="0" collapsed="false">
      <c r="A34" s="9" t="s">
        <v>200</v>
      </c>
      <c r="B34" s="19" t="s">
        <v>157</v>
      </c>
      <c r="C34" s="30" t="n">
        <f aca="false">IF(C32&gt;0,IF(C33&lt;120,MAX(AFM_Toetsrente,Invoer!C54),Invoer!C54),0)</f>
        <v>0</v>
      </c>
      <c r="D34" s="30" t="n">
        <f aca="false">IF(D32&gt;0,IF(D33&lt;120,MAX(AFM_Toetsrente,Invoer!D54),Invoer!D54),0)</f>
        <v>0</v>
      </c>
      <c r="E34" s="30" t="n">
        <f aca="false">IF(E32&gt;0,IF(E33&lt;120,MAX(AFM_Toetsrente,Invoer!E54),Invoer!E54),0)</f>
        <v>0</v>
      </c>
      <c r="F34" s="30" t="n">
        <f aca="false">IF(F32&gt;0,IF(F33&lt;120,MAX(AFM_Toetsrente,Invoer!F54),Invoer!F54),0)</f>
        <v>0</v>
      </c>
      <c r="G34" s="30" t="n">
        <f aca="false">IF(G32&gt;0,IF(G33&lt;120,MAX(AFM_Toetsrente,Invoer!G54),Invoer!G54),0)</f>
        <v>0</v>
      </c>
      <c r="H34" s="30" t="n">
        <f aca="false">IF(H32&gt;0,IF(H33&lt;120,MAX(AFM_Toetsrente,Invoer!H54),Invoer!H54),0)</f>
        <v>0</v>
      </c>
      <c r="I34" s="30" t="n">
        <f aca="false">IF(I32&gt;0,IF(I33&lt;120,MAX(AFM_Toetsrente,Invoer!I54),Invoer!I54),0)</f>
        <v>0</v>
      </c>
      <c r="J34" s="30" t="n">
        <f aca="false">IF(J32&gt;0,IF(J33&lt;120,MAX(AFM_Toetsrente,Invoer!J54),Invoer!J54),0)</f>
        <v>0</v>
      </c>
      <c r="K34" s="30" t="n">
        <f aca="false">IF(K32&gt;0,IF(K33&lt;120,MAX(AFM_Toetsrente,Invoer!K54),Invoer!K54),0)</f>
        <v>0.05</v>
      </c>
      <c r="L34" s="30" t="n">
        <f aca="false">IF(L32&gt;0,IF(L33&lt;120,MAX(AFM_Toetsrente,Invoer!L54),Invoer!L54),0)</f>
        <v>0</v>
      </c>
      <c r="M34" s="30" t="n">
        <f aca="false">IF(M32&gt;0,IF(M33&lt;120,MAX(AFM_Toetsrente,Invoer!M54),Invoer!M54),0)</f>
        <v>0</v>
      </c>
    </row>
    <row r="35" customFormat="false" ht="15" hidden="false" customHeight="false" outlineLevel="0" collapsed="false">
      <c r="A35" s="9" t="s">
        <v>201</v>
      </c>
      <c r="B35" s="19" t="s">
        <v>182</v>
      </c>
      <c r="C35" s="28" t="n">
        <f aca="false">IF(OR(Invoer!C52="Aflossingsvrij",Invoer!C38="30 jaar"),360,C21)</f>
        <v>292</v>
      </c>
      <c r="D35" s="28" t="n">
        <f aca="false">IF(OR(Invoer!D52="Aflossingsvrij",Invoer!D38="30 jaar"),360,D21)</f>
        <v>360</v>
      </c>
      <c r="E35" s="28" t="n">
        <f aca="false">IF(OR(Invoer!E52="Aflossingsvrij",Invoer!E38="30 jaar"),360,E21)</f>
        <v>292</v>
      </c>
      <c r="F35" s="28" t="n">
        <f aca="false">IF(OR(Invoer!F52="Aflossingsvrij",Invoer!F38="30 jaar"),360,F21)</f>
        <v>292</v>
      </c>
      <c r="G35" s="28" t="n">
        <f aca="false">IF(OR(Invoer!G52="Aflossingsvrij",Invoer!G38="30 jaar"),360,G21)</f>
        <v>292</v>
      </c>
      <c r="H35" s="28" t="n">
        <f aca="false">IF(OR(Invoer!H52="Aflossingsvrij",Invoer!H38="30 jaar"),360,H21)</f>
        <v>292</v>
      </c>
      <c r="I35" s="28" t="n">
        <f aca="false">IF(OR(Invoer!I52="Aflossingsvrij",Invoer!I38="30 jaar"),360,I21)</f>
        <v>292</v>
      </c>
      <c r="J35" s="28" t="n">
        <f aca="false">IF(OR(Invoer!J52="Aflossingsvrij",Invoer!J38="30 jaar"),360,J21)</f>
        <v>292</v>
      </c>
      <c r="K35" s="28" t="n">
        <f aca="false">IF(OR(Invoer!K52="Aflossingsvrij",Invoer!K38="30 jaar"),360,K21)</f>
        <v>360</v>
      </c>
      <c r="L35" s="28" t="n">
        <f aca="false">IF(OR(Invoer!L52="Aflossingsvrij",Invoer!L38="30 jaar"),360,L21)</f>
        <v>292</v>
      </c>
      <c r="M35" s="28" t="n">
        <f aca="false">IF(OR(Invoer!M52="Aflossingsvrij",Invoer!M38="30 jaar"),360,M21)</f>
        <v>292</v>
      </c>
    </row>
    <row r="36" customFormat="false" ht="15" hidden="false" customHeight="false" outlineLevel="0" collapsed="false">
      <c r="A36" s="9" t="s">
        <v>202</v>
      </c>
      <c r="B36" s="19" t="s">
        <v>178</v>
      </c>
      <c r="C36" s="32" t="n">
        <f aca="false">IF(C32&lt;=0,0,IF(C34=0,C32/C35,C32*(C34/12)/(1-(1+C34/12)^(-C35))))</f>
        <v>0</v>
      </c>
      <c r="D36" s="32" t="n">
        <f aca="false">IF(D32&lt;=0,0,IF(D34=0,D32/D35,D32*(D34/12)/(1-(1+D34/12)^(-D35))))</f>
        <v>0</v>
      </c>
      <c r="E36" s="32" t="n">
        <f aca="false">IF(E32&lt;=0,0,IF(E34=0,E32/E35,E32*(E34/12)/(1-(1+E34/12)^(-E35))))</f>
        <v>0</v>
      </c>
      <c r="F36" s="32" t="n">
        <f aca="false">IF(F32&lt;=0,0,IF(F34=0,F32/F35,F32*(F34/12)/(1-(1+F34/12)^(-F35))))</f>
        <v>0</v>
      </c>
      <c r="G36" s="32" t="n">
        <f aca="false">IF(G32&lt;=0,0,IF(G34=0,G32/G35,G32*(G34/12)/(1-(1+G34/12)^(-G35))))</f>
        <v>0</v>
      </c>
      <c r="H36" s="32" t="n">
        <f aca="false">IF(H32&lt;=0,0,IF(H34=0,H32/H35,H32*(H34/12)/(1-(1+H34/12)^(-H35))))</f>
        <v>0</v>
      </c>
      <c r="I36" s="32" t="n">
        <f aca="false">IF(I32&lt;=0,0,IF(I34=0,I32/I35,I32*(I34/12)/(1-(1+I34/12)^(-I35))))</f>
        <v>0</v>
      </c>
      <c r="J36" s="32" t="n">
        <f aca="false">IF(J32&lt;=0,0,IF(J34=0,J32/J35,J32*(J34/12)/(1-(1+J34/12)^(-J35))))</f>
        <v>0</v>
      </c>
      <c r="K36" s="32" t="n">
        <f aca="false">IF(K32&lt;=0,0,IF(K34=0,K32/K35,K32*(K34/12)/(1-(1+K34/12)^(-K35))))</f>
        <v>805.23243451821</v>
      </c>
      <c r="L36" s="32" t="n">
        <f aca="false">IF(L32&lt;=0,0,IF(L34=0,L32/L35,L32*(L34/12)/(1-(1+L34/12)^(-L35))))</f>
        <v>0</v>
      </c>
      <c r="M36" s="32" t="n">
        <f aca="false">IF(M32&lt;=0,0,IF(M34=0,M32/M35,M32*(M34/12)/(1-(1+M34/12)^(-M35))))</f>
        <v>0</v>
      </c>
    </row>
    <row r="37" customFormat="false" ht="15" hidden="false" customHeight="false" outlineLevel="0" collapsed="false">
      <c r="A37" s="9" t="s">
        <v>203</v>
      </c>
      <c r="B37" s="19" t="s">
        <v>101</v>
      </c>
      <c r="C37" s="32" t="n">
        <f aca="false">Invoer!C58</f>
        <v>0</v>
      </c>
      <c r="D37" s="32" t="n">
        <f aca="false">Invoer!D58</f>
        <v>0</v>
      </c>
      <c r="E37" s="32" t="n">
        <f aca="false">Invoer!E58</f>
        <v>0</v>
      </c>
      <c r="F37" s="32" t="n">
        <f aca="false">Invoer!F58</f>
        <v>0</v>
      </c>
      <c r="G37" s="32" t="n">
        <f aca="false">Invoer!G58</f>
        <v>0</v>
      </c>
      <c r="H37" s="32" t="n">
        <f aca="false">Invoer!H58</f>
        <v>0</v>
      </c>
      <c r="I37" s="32" t="n">
        <f aca="false">Invoer!I58</f>
        <v>0</v>
      </c>
      <c r="J37" s="32" t="n">
        <f aca="false">Invoer!J58</f>
        <v>0</v>
      </c>
      <c r="K37" s="32" t="n">
        <f aca="false">Invoer!K58</f>
        <v>0</v>
      </c>
      <c r="L37" s="32" t="n">
        <f aca="false">Invoer!L58</f>
        <v>0</v>
      </c>
      <c r="M37" s="32" t="n">
        <f aca="false">Invoer!M58</f>
        <v>0</v>
      </c>
    </row>
    <row r="38" customFormat="false" ht="15" hidden="false" customHeight="false" outlineLevel="0" collapsed="false">
      <c r="A38" s="9" t="s">
        <v>204</v>
      </c>
      <c r="B38" s="19" t="s">
        <v>182</v>
      </c>
      <c r="C38" s="28" t="n">
        <f aca="false">MAX(0,Invoer!C60*12-C20)</f>
        <v>52</v>
      </c>
      <c r="D38" s="28" t="n">
        <f aca="false">MAX(0,Invoer!D60*12-D20)</f>
        <v>52</v>
      </c>
      <c r="E38" s="28" t="n">
        <f aca="false">MAX(0,Invoer!E60*12-E20)</f>
        <v>52</v>
      </c>
      <c r="F38" s="28" t="n">
        <f aca="false">MAX(0,Invoer!F60*12-F20)</f>
        <v>52</v>
      </c>
      <c r="G38" s="28" t="n">
        <f aca="false">MAX(0,Invoer!G60*12-G20)</f>
        <v>52</v>
      </c>
      <c r="H38" s="28" t="n">
        <f aca="false">MAX(0,Invoer!H60*12-H20)</f>
        <v>52</v>
      </c>
      <c r="I38" s="28" t="n">
        <f aca="false">MAX(0,Invoer!I60*12-I20)</f>
        <v>52</v>
      </c>
      <c r="J38" s="28" t="n">
        <f aca="false">MAX(0,Invoer!J60*12-J20)</f>
        <v>52</v>
      </c>
      <c r="K38" s="28" t="n">
        <f aca="false">MAX(0,Invoer!K60*12-K20)</f>
        <v>52</v>
      </c>
      <c r="L38" s="28" t="n">
        <f aca="false">MAX(0,Invoer!L60*12-L20)</f>
        <v>52</v>
      </c>
      <c r="M38" s="28" t="n">
        <f aca="false">MAX(0,Invoer!M60*12-M20)</f>
        <v>52</v>
      </c>
    </row>
    <row r="39" customFormat="false" ht="15" hidden="false" customHeight="false" outlineLevel="0" collapsed="false">
      <c r="A39" s="9" t="s">
        <v>205</v>
      </c>
      <c r="B39" s="19" t="s">
        <v>157</v>
      </c>
      <c r="C39" s="30" t="n">
        <f aca="false">IF(C37&gt;0,IF(C38&lt;120,MAX(AFM_Toetsrente,Invoer!C59),Invoer!C59),0)</f>
        <v>0</v>
      </c>
      <c r="D39" s="30" t="n">
        <f aca="false">IF(D37&gt;0,IF(D38&lt;120,MAX(AFM_Toetsrente,Invoer!D59),Invoer!D59),0)</f>
        <v>0</v>
      </c>
      <c r="E39" s="30" t="n">
        <f aca="false">IF(E37&gt;0,IF(E38&lt;120,MAX(AFM_Toetsrente,Invoer!E59),Invoer!E59),0)</f>
        <v>0</v>
      </c>
      <c r="F39" s="30" t="n">
        <f aca="false">IF(F37&gt;0,IF(F38&lt;120,MAX(AFM_Toetsrente,Invoer!F59),Invoer!F59),0)</f>
        <v>0</v>
      </c>
      <c r="G39" s="30" t="n">
        <f aca="false">IF(G37&gt;0,IF(G38&lt;120,MAX(AFM_Toetsrente,Invoer!G59),Invoer!G59),0)</f>
        <v>0</v>
      </c>
      <c r="H39" s="30" t="n">
        <f aca="false">IF(H37&gt;0,IF(H38&lt;120,MAX(AFM_Toetsrente,Invoer!H59),Invoer!H59),0)</f>
        <v>0</v>
      </c>
      <c r="I39" s="30" t="n">
        <f aca="false">IF(I37&gt;0,IF(I38&lt;120,MAX(AFM_Toetsrente,Invoer!I59),Invoer!I59),0)</f>
        <v>0</v>
      </c>
      <c r="J39" s="30" t="n">
        <f aca="false">IF(J37&gt;0,IF(J38&lt;120,MAX(AFM_Toetsrente,Invoer!J59),Invoer!J59),0)</f>
        <v>0</v>
      </c>
      <c r="K39" s="30" t="n">
        <f aca="false">IF(K37&gt;0,IF(K38&lt;120,MAX(AFM_Toetsrente,Invoer!K59),Invoer!K59),0)</f>
        <v>0</v>
      </c>
      <c r="L39" s="30" t="n">
        <f aca="false">IF(L37&gt;0,IF(L38&lt;120,MAX(AFM_Toetsrente,Invoer!L59),Invoer!L59),0)</f>
        <v>0</v>
      </c>
      <c r="M39" s="30" t="n">
        <f aca="false">IF(M37&gt;0,IF(M38&lt;120,MAX(AFM_Toetsrente,Invoer!M59),Invoer!M59),0)</f>
        <v>0</v>
      </c>
    </row>
    <row r="40" customFormat="false" ht="15" hidden="false" customHeight="false" outlineLevel="0" collapsed="false">
      <c r="A40" s="9" t="s">
        <v>206</v>
      </c>
      <c r="B40" s="19" t="s">
        <v>182</v>
      </c>
      <c r="C40" s="28" t="n">
        <f aca="false">IF(OR(Invoer!C57="Aflossingsvrij",Invoer!C38="30 jaar"),360,C21)</f>
        <v>292</v>
      </c>
      <c r="D40" s="28" t="n">
        <f aca="false">IF(OR(Invoer!D57="Aflossingsvrij",Invoer!D38="30 jaar"),360,D21)</f>
        <v>360</v>
      </c>
      <c r="E40" s="28" t="n">
        <f aca="false">IF(OR(Invoer!E57="Aflossingsvrij",Invoer!E38="30 jaar"),360,E21)</f>
        <v>292</v>
      </c>
      <c r="F40" s="28" t="n">
        <f aca="false">IF(OR(Invoer!F57="Aflossingsvrij",Invoer!F38="30 jaar"),360,F21)</f>
        <v>292</v>
      </c>
      <c r="G40" s="28" t="n">
        <f aca="false">IF(OR(Invoer!G57="Aflossingsvrij",Invoer!G38="30 jaar"),360,G21)</f>
        <v>292</v>
      </c>
      <c r="H40" s="28" t="n">
        <f aca="false">IF(OR(Invoer!H57="Aflossingsvrij",Invoer!H38="30 jaar"),360,H21)</f>
        <v>292</v>
      </c>
      <c r="I40" s="28" t="n">
        <f aca="false">IF(OR(Invoer!I57="Aflossingsvrij",Invoer!I38="30 jaar"),360,I21)</f>
        <v>292</v>
      </c>
      <c r="J40" s="28" t="n">
        <f aca="false">IF(OR(Invoer!J57="Aflossingsvrij",Invoer!J38="30 jaar"),360,J21)</f>
        <v>292</v>
      </c>
      <c r="K40" s="28" t="n">
        <f aca="false">IF(OR(Invoer!K57="Aflossingsvrij",Invoer!K38="30 jaar"),360,K21)</f>
        <v>292</v>
      </c>
      <c r="L40" s="28" t="n">
        <f aca="false">IF(OR(Invoer!L57="Aflossingsvrij",Invoer!L38="30 jaar"),360,L21)</f>
        <v>292</v>
      </c>
      <c r="M40" s="28" t="n">
        <f aca="false">IF(OR(Invoer!M57="Aflossingsvrij",Invoer!M38="30 jaar"),360,M21)</f>
        <v>292</v>
      </c>
    </row>
    <row r="41" customFormat="false" ht="15" hidden="false" customHeight="false" outlineLevel="0" collapsed="false">
      <c r="A41" s="9" t="s">
        <v>207</v>
      </c>
      <c r="B41" s="19" t="s">
        <v>178</v>
      </c>
      <c r="C41" s="32" t="n">
        <f aca="false">IF(C37&lt;=0,0,IF(C39=0,C37/C40,C37*(C39/12)/(1-(1+C39/12)^(-C40))))</f>
        <v>0</v>
      </c>
      <c r="D41" s="32" t="n">
        <f aca="false">IF(D37&lt;=0,0,IF(D39=0,D37/D40,D37*(D39/12)/(1-(1+D39/12)^(-D40))))</f>
        <v>0</v>
      </c>
      <c r="E41" s="32" t="n">
        <f aca="false">IF(E37&lt;=0,0,IF(E39=0,E37/E40,E37*(E39/12)/(1-(1+E39/12)^(-E40))))</f>
        <v>0</v>
      </c>
      <c r="F41" s="32" t="n">
        <f aca="false">IF(F37&lt;=0,0,IF(F39=0,F37/F40,F37*(F39/12)/(1-(1+F39/12)^(-F40))))</f>
        <v>0</v>
      </c>
      <c r="G41" s="32" t="n">
        <f aca="false">IF(G37&lt;=0,0,IF(G39=0,G37/G40,G37*(G39/12)/(1-(1+G39/12)^(-G40))))</f>
        <v>0</v>
      </c>
      <c r="H41" s="32" t="n">
        <f aca="false">IF(H37&lt;=0,0,IF(H39=0,H37/H40,H37*(H39/12)/(1-(1+H39/12)^(-H40))))</f>
        <v>0</v>
      </c>
      <c r="I41" s="32" t="n">
        <f aca="false">IF(I37&lt;=0,0,IF(I39=0,I37/I40,I37*(I39/12)/(1-(1+I39/12)^(-I40))))</f>
        <v>0</v>
      </c>
      <c r="J41" s="32" t="n">
        <f aca="false">IF(J37&lt;=0,0,IF(J39=0,J37/J40,J37*(J39/12)/(1-(1+J39/12)^(-J40))))</f>
        <v>0</v>
      </c>
      <c r="K41" s="32" t="n">
        <f aca="false">IF(K37&lt;=0,0,IF(K39=0,K37/K40,K37*(K39/12)/(1-(1+K39/12)^(-K40))))</f>
        <v>0</v>
      </c>
      <c r="L41" s="32" t="n">
        <f aca="false">IF(L37&lt;=0,0,IF(L39=0,L37/L40,L37*(L39/12)/(1-(1+L39/12)^(-L40))))</f>
        <v>0</v>
      </c>
      <c r="M41" s="32" t="n">
        <f aca="false">IF(M37&lt;=0,0,IF(M39=0,M37/M40,M37*(M39/12)/(1-(1+M39/12)^(-M40))))</f>
        <v>0</v>
      </c>
    </row>
    <row r="42" customFormat="false" ht="15" hidden="false" customHeight="false" outlineLevel="0" collapsed="false">
      <c r="A42" s="5" t="s">
        <v>208</v>
      </c>
      <c r="B42" s="19" t="s">
        <v>101</v>
      </c>
      <c r="C42" s="33" t="n">
        <f aca="false">C22+C27+C32+C37</f>
        <v>623749.91</v>
      </c>
      <c r="D42" s="33" t="n">
        <f aca="false">D22+D27+D32+D37</f>
        <v>623749.91</v>
      </c>
      <c r="E42" s="33" t="n">
        <f aca="false">E22+E27+E32+E37</f>
        <v>623749.91</v>
      </c>
      <c r="F42" s="33" t="n">
        <f aca="false">F22+F27+F32+F37</f>
        <v>623749.91</v>
      </c>
      <c r="G42" s="33" t="n">
        <f aca="false">G22+G27+G32+G37</f>
        <v>623749.91</v>
      </c>
      <c r="H42" s="33" t="n">
        <f aca="false">H22+H27+H32+H37</f>
        <v>623749.91</v>
      </c>
      <c r="I42" s="33" t="n">
        <f aca="false">I22+I27+I32+I37</f>
        <v>623749.91</v>
      </c>
      <c r="J42" s="33" t="n">
        <f aca="false">J22+J27+J32+J37</f>
        <v>623749.91</v>
      </c>
      <c r="K42" s="33" t="n">
        <f aca="false">K22+K27+K32+K37</f>
        <v>550000</v>
      </c>
      <c r="L42" s="33" t="n">
        <f aca="false">L22+L27+L32+L37</f>
        <v>623749.91</v>
      </c>
      <c r="M42" s="33" t="n">
        <f aca="false">M22+M27+M32+M37</f>
        <v>623749.91</v>
      </c>
    </row>
    <row r="43" customFormat="false" ht="15" hidden="false" customHeight="false" outlineLevel="0" collapsed="false">
      <c r="A43" s="9" t="s">
        <v>209</v>
      </c>
      <c r="B43" s="19" t="s">
        <v>101</v>
      </c>
      <c r="C43" s="32" t="n">
        <f aca="false">C8*C42</f>
        <v>623749.91</v>
      </c>
      <c r="D43" s="32" t="n">
        <f aca="false">D8*D42</f>
        <v>623749.91</v>
      </c>
      <c r="E43" s="32" t="n">
        <f aca="false">E8*E42</f>
        <v>623749.91</v>
      </c>
      <c r="F43" s="32" t="n">
        <f aca="false">F8*F42</f>
        <v>623749.91</v>
      </c>
      <c r="G43" s="32" t="n">
        <f aca="false">G8*G42</f>
        <v>0</v>
      </c>
      <c r="H43" s="32" t="n">
        <f aca="false">H8*H42</f>
        <v>0</v>
      </c>
      <c r="I43" s="32" t="n">
        <f aca="false">I8*I42</f>
        <v>0</v>
      </c>
      <c r="J43" s="32" t="n">
        <f aca="false">J8*J42</f>
        <v>623749.91</v>
      </c>
      <c r="K43" s="32" t="n">
        <f aca="false">K8*K42</f>
        <v>550000</v>
      </c>
      <c r="L43" s="32" t="n">
        <f aca="false">L8*L42</f>
        <v>623749.91</v>
      </c>
      <c r="M43" s="32" t="n">
        <f aca="false">M8*M42</f>
        <v>623749.91</v>
      </c>
    </row>
    <row r="44" customFormat="false" ht="15" hidden="false" customHeight="false" outlineLevel="0" collapsed="false">
      <c r="A44" s="9" t="s">
        <v>210</v>
      </c>
      <c r="B44" s="19" t="s">
        <v>178</v>
      </c>
      <c r="C44" s="32" t="n">
        <f aca="false">C8*(C26+C31+C36+C41)</f>
        <v>2880.16259375155</v>
      </c>
      <c r="D44" s="32" t="n">
        <f aca="false">D8*(D26+D31+D36+D41)</f>
        <v>2729.66482704899</v>
      </c>
      <c r="E44" s="32" t="n">
        <f aca="false">E8*(E26+E31+E36+E41)</f>
        <v>3498.92215710132</v>
      </c>
      <c r="F44" s="32" t="n">
        <f aca="false">F8*(F26+F31+F36+F41)</f>
        <v>2880.16259375155</v>
      </c>
      <c r="G44" s="32" t="n">
        <f aca="false">G8*(G26+G31+G36+G41)</f>
        <v>0</v>
      </c>
      <c r="H44" s="32" t="n">
        <f aca="false">H8*(H26+H31+H36+H41)</f>
        <v>0</v>
      </c>
      <c r="I44" s="32" t="n">
        <f aca="false">I8*(I26+I31+I36+I41)</f>
        <v>0</v>
      </c>
      <c r="J44" s="32" t="n">
        <f aca="false">J8*(J26+J31+J36+J41)</f>
        <v>2880.16259375155</v>
      </c>
      <c r="K44" s="32" t="n">
        <f aca="false">K8*(K26+K31+K36+K41)</f>
        <v>3175.90828277813</v>
      </c>
      <c r="L44" s="32" t="n">
        <f aca="false">L8*(L26+L31+L36+L41)</f>
        <v>2880.16259375155</v>
      </c>
      <c r="M44" s="32" t="n">
        <f aca="false">M8*(M26+M31+M36+M41)</f>
        <v>2880.16259375155</v>
      </c>
    </row>
    <row r="45" customFormat="false" ht="15" hidden="false" customHeight="false" outlineLevel="0" collapsed="false">
      <c r="A45" s="9" t="s">
        <v>211</v>
      </c>
      <c r="B45" s="19"/>
      <c r="C45" s="34" t="n">
        <f aca="false">C8*(C22*C25*C24+C27*C30*C29+C32*C35*C34+C37*C40*C39)</f>
        <v>6293850.6822</v>
      </c>
      <c r="D45" s="34" t="n">
        <f aca="false">D8*(D22*D25*D24+D27*D30*D29+D32*D35*D34+D37*D40*D39)</f>
        <v>7210084.8582</v>
      </c>
      <c r="E45" s="34" t="n">
        <f aca="false">E8*(E22*E25*E24+E27*E30*E29+E32*E35*E34+E37*E40*E39)</f>
        <v>10311264.204</v>
      </c>
      <c r="F45" s="34" t="n">
        <f aca="false">F8*(F22*F25*F24+F27*F30*F29+F32*F35*F34+F37*F40*F39)</f>
        <v>6293850.6822</v>
      </c>
      <c r="G45" s="34" t="n">
        <f aca="false">G8*(G22*G25*G24+G27*G30*G29+G32*G35*G34+G37*G40*G39)</f>
        <v>0</v>
      </c>
      <c r="H45" s="34" t="n">
        <f aca="false">H8*(H22*H25*H24+H27*H30*H29+H32*H35*H34+H37*H40*H39)</f>
        <v>0</v>
      </c>
      <c r="I45" s="34" t="n">
        <f aca="false">I8*(I22*I25*I24+I27*I30*I29+I32*I35*I34+I37*I40*I39)</f>
        <v>0</v>
      </c>
      <c r="J45" s="34" t="n">
        <f aca="false">J8*(J22*J25*J24+J27*J30*J29+J32*J35*J34+J37*J40*J39)</f>
        <v>6293850.6822</v>
      </c>
      <c r="K45" s="34" t="n">
        <f aca="false">K8*(K22*K25*K24+K27*K30*K29+K32*K35*K34+K37*K40*K39)</f>
        <v>8540000</v>
      </c>
      <c r="L45" s="34" t="n">
        <f aca="false">L8*(L22*L25*L24+L27*L30*L29+L32*L35*L34+L37*L40*L39)</f>
        <v>6293850.6822</v>
      </c>
      <c r="M45" s="34" t="n">
        <f aca="false">M8*(M22*M25*M24+M27*M30*M29+M32*M35*M34+M37*M40*M39)</f>
        <v>6293850.6822</v>
      </c>
    </row>
    <row r="46" customFormat="false" ht="15" hidden="false" customHeight="false" outlineLevel="0" collapsed="false">
      <c r="A46" s="9" t="s">
        <v>212</v>
      </c>
      <c r="B46" s="19"/>
      <c r="C46" s="34" t="n">
        <f aca="false">C8*(C22*C25+C27*C30+C32*C35+C37*C40)</f>
        <v>206225284.08</v>
      </c>
      <c r="D46" s="34" t="n">
        <f aca="false">D8*(D22*D25+D27*D30+D32*D35+D37*D40)</f>
        <v>224549967.6</v>
      </c>
      <c r="E46" s="34" t="n">
        <f aca="false">E8*(E22*E25+E27*E30+E32*E35+E37*E40)</f>
        <v>206225284.08</v>
      </c>
      <c r="F46" s="34" t="n">
        <f aca="false">F8*(F22*F25+F27*F30+F32*F35+F37*F40)</f>
        <v>206225284.08</v>
      </c>
      <c r="G46" s="34" t="n">
        <f aca="false">G8*(G22*G25+G27*G30+G32*G35+G37*G40)</f>
        <v>0</v>
      </c>
      <c r="H46" s="34" t="n">
        <f aca="false">H8*(H22*H25+H27*H30+H32*H35+H37*H40)</f>
        <v>0</v>
      </c>
      <c r="I46" s="34" t="n">
        <f aca="false">I8*(I22*I25+I27*I30+I32*I35+I37*I40)</f>
        <v>0</v>
      </c>
      <c r="J46" s="34" t="n">
        <f aca="false">J8*(J22*J25+J27*J30+J32*J35+J37*J40)</f>
        <v>206225284.08</v>
      </c>
      <c r="K46" s="34" t="n">
        <f aca="false">K8*(K22*K25+K27*K30+K32*K35+K37*K40)</f>
        <v>170800000</v>
      </c>
      <c r="L46" s="34" t="n">
        <f aca="false">L8*(L22*L25+L27*L30+L32*L35+L37*L40)</f>
        <v>206225284.08</v>
      </c>
      <c r="M46" s="34" t="n">
        <f aca="false">M8*(M22*M25+M27*M30+M32*M35+M37*M40)</f>
        <v>206225284.08</v>
      </c>
    </row>
    <row r="47" customFormat="false" ht="15" hidden="false" customHeight="false" outlineLevel="0" collapsed="false">
      <c r="A47" s="9" t="s">
        <v>213</v>
      </c>
      <c r="B47" s="19"/>
      <c r="C47" s="28" t="n">
        <f aca="false">IF(AND(C8=1,C42&gt;0),1,0)</f>
        <v>1</v>
      </c>
      <c r="D47" s="28" t="n">
        <f aca="false">IF(AND(D8=1,D42&gt;0),1,0)</f>
        <v>1</v>
      </c>
      <c r="E47" s="28" t="n">
        <f aca="false">IF(AND(E8=1,E42&gt;0),1,0)</f>
        <v>1</v>
      </c>
      <c r="F47" s="28" t="n">
        <f aca="false">IF(AND(F8=1,F42&gt;0),1,0)</f>
        <v>1</v>
      </c>
      <c r="G47" s="28" t="n">
        <f aca="false">IF(AND(G8=1,G42&gt;0),1,0)</f>
        <v>0</v>
      </c>
      <c r="H47" s="28" t="n">
        <f aca="false">IF(AND(H8=1,H42&gt;0),1,0)</f>
        <v>0</v>
      </c>
      <c r="I47" s="28" t="n">
        <f aca="false">IF(AND(I8=1,I42&gt;0),1,0)</f>
        <v>0</v>
      </c>
      <c r="J47" s="28" t="n">
        <f aca="false">IF(AND(J8=1,J42&gt;0),1,0)</f>
        <v>1</v>
      </c>
      <c r="K47" s="28" t="n">
        <f aca="false">IF(AND(K8=1,K42&gt;0),1,0)</f>
        <v>1</v>
      </c>
      <c r="L47" s="28" t="n">
        <f aca="false">IF(AND(L8=1,L42&gt;0),1,0)</f>
        <v>1</v>
      </c>
      <c r="M47" s="28" t="n">
        <f aca="false">IF(AND(M8=1,M42&gt;0),1,0)</f>
        <v>1</v>
      </c>
    </row>
    <row r="48" customFormat="false" ht="15" hidden="false" customHeight="false" outlineLevel="0" collapsed="false">
      <c r="A48" s="7" t="s">
        <v>214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</row>
    <row r="49" customFormat="false" ht="15" hidden="false" customHeight="false" outlineLevel="0" collapsed="false">
      <c r="A49" s="9" t="s">
        <v>215</v>
      </c>
      <c r="B49" s="19" t="s">
        <v>101</v>
      </c>
      <c r="C49" s="29" t="n">
        <f aca="false">Invoer!C62*Invoer!C63</f>
        <v>888250</v>
      </c>
      <c r="D49" s="29" t="n">
        <f aca="false">Invoer!D62*Invoer!D63</f>
        <v>888250</v>
      </c>
      <c r="E49" s="29" t="n">
        <f aca="false">Invoer!E62*Invoer!E63</f>
        <v>888250</v>
      </c>
      <c r="F49" s="29" t="n">
        <f aca="false">Invoer!F62*Invoer!F63</f>
        <v>888250</v>
      </c>
      <c r="G49" s="29" t="n">
        <f aca="false">Invoer!G62*Invoer!G63</f>
        <v>888250</v>
      </c>
      <c r="H49" s="29" t="n">
        <f aca="false">Invoer!H62*Invoer!H63</f>
        <v>888250</v>
      </c>
      <c r="I49" s="29" t="n">
        <f aca="false">Invoer!I62*Invoer!I63</f>
        <v>888250</v>
      </c>
      <c r="J49" s="29" t="n">
        <f aca="false">Invoer!J62*Invoer!J63</f>
        <v>888250</v>
      </c>
      <c r="K49" s="29" t="n">
        <f aca="false">Invoer!K62*Invoer!K63</f>
        <v>855000</v>
      </c>
      <c r="L49" s="29" t="n">
        <f aca="false">Invoer!L62*Invoer!L63</f>
        <v>888250</v>
      </c>
      <c r="M49" s="29" t="n">
        <f aca="false">Invoer!M62*Invoer!M63</f>
        <v>888250</v>
      </c>
    </row>
    <row r="50" customFormat="false" ht="15" hidden="false" customHeight="false" outlineLevel="0" collapsed="false">
      <c r="A50" s="9" t="s">
        <v>216</v>
      </c>
      <c r="B50" s="19" t="s">
        <v>101</v>
      </c>
      <c r="C50" s="29" t="n">
        <f aca="false">MAX(0,C49-C42)</f>
        <v>264500.09</v>
      </c>
      <c r="D50" s="29" t="n">
        <f aca="false">MAX(0,D49-D42)</f>
        <v>264500.09</v>
      </c>
      <c r="E50" s="29" t="n">
        <f aca="false">MAX(0,E49-E42)</f>
        <v>264500.09</v>
      </c>
      <c r="F50" s="29" t="n">
        <f aca="false">MAX(0,F49-F42)</f>
        <v>264500.09</v>
      </c>
      <c r="G50" s="29" t="n">
        <f aca="false">MAX(0,G49-G42)</f>
        <v>264500.09</v>
      </c>
      <c r="H50" s="29" t="n">
        <f aca="false">MAX(0,H49-H42)</f>
        <v>264500.09</v>
      </c>
      <c r="I50" s="29" t="n">
        <f aca="false">MAX(0,I49-I42)</f>
        <v>264500.09</v>
      </c>
      <c r="J50" s="29" t="n">
        <f aca="false">MAX(0,J49-J42)</f>
        <v>264500.09</v>
      </c>
      <c r="K50" s="29" t="n">
        <f aca="false">MAX(0,K49-K42)</f>
        <v>305000</v>
      </c>
      <c r="L50" s="29" t="n">
        <f aca="false">MAX(0,L49-L42)</f>
        <v>264500.09</v>
      </c>
      <c r="M50" s="29" t="n">
        <f aca="false">MAX(0,M49-M42)</f>
        <v>264500.09</v>
      </c>
    </row>
    <row r="51" customFormat="false" ht="15" hidden="false" customHeight="false" outlineLevel="0" collapsed="false">
      <c r="A51" s="9" t="s">
        <v>217</v>
      </c>
      <c r="B51" s="19" t="s">
        <v>101</v>
      </c>
      <c r="C51" s="29" t="n">
        <f aca="false">MAX(0,C42-C49)</f>
        <v>0</v>
      </c>
      <c r="D51" s="29" t="n">
        <f aca="false">MAX(0,D42-D49)</f>
        <v>0</v>
      </c>
      <c r="E51" s="29" t="n">
        <f aca="false">MAX(0,E42-E49)</f>
        <v>0</v>
      </c>
      <c r="F51" s="29" t="n">
        <f aca="false">MAX(0,F42-F49)</f>
        <v>0</v>
      </c>
      <c r="G51" s="29" t="n">
        <f aca="false">MAX(0,G42-G49)</f>
        <v>0</v>
      </c>
      <c r="H51" s="29" t="n">
        <f aca="false">MAX(0,H42-H49)</f>
        <v>0</v>
      </c>
      <c r="I51" s="29" t="n">
        <f aca="false">MAX(0,I42-I49)</f>
        <v>0</v>
      </c>
      <c r="J51" s="29" t="n">
        <f aca="false">MAX(0,J42-J49)</f>
        <v>0</v>
      </c>
      <c r="K51" s="29" t="n">
        <f aca="false">MAX(0,K42-K49)</f>
        <v>0</v>
      </c>
      <c r="L51" s="29" t="n">
        <f aca="false">MAX(0,L42-L49)</f>
        <v>0</v>
      </c>
      <c r="M51" s="29" t="n">
        <f aca="false">MAX(0,M42-M49)</f>
        <v>0</v>
      </c>
    </row>
    <row r="52" customFormat="false" ht="15" hidden="false" customHeight="false" outlineLevel="0" collapsed="false">
      <c r="A52" s="5" t="s">
        <v>218</v>
      </c>
      <c r="B52" s="19" t="s">
        <v>101</v>
      </c>
      <c r="C52" s="35" t="n">
        <f aca="false">C6*(Invoer!C20-C43-C50+C51)</f>
        <v>441750</v>
      </c>
      <c r="D52" s="35" t="n">
        <f aca="false">D6*(Invoer!D20-D43-D50+D51)</f>
        <v>441750</v>
      </c>
      <c r="E52" s="35" t="n">
        <f aca="false">E6*(Invoer!E20-E43-E50+E51)</f>
        <v>441750</v>
      </c>
      <c r="F52" s="35" t="n">
        <f aca="false">F6*(Invoer!F20-F43-F50+F51)</f>
        <v>441750</v>
      </c>
      <c r="G52" s="35" t="n">
        <f aca="false">G6*(Invoer!G20-G43-G50+G51)</f>
        <v>0</v>
      </c>
      <c r="H52" s="35" t="n">
        <f aca="false">H6*(Invoer!H20-H43-H50+H51)</f>
        <v>0</v>
      </c>
      <c r="I52" s="35" t="n">
        <f aca="false">I6*(Invoer!I20-I43-I50+I51)</f>
        <v>1065499.91</v>
      </c>
      <c r="J52" s="35" t="n">
        <f aca="false">J6*(Invoer!J20-J43-J50+J51)</f>
        <v>441750</v>
      </c>
      <c r="K52" s="35" t="n">
        <f aca="false">K6*(Invoer!K20-K43-K50+K51)</f>
        <v>245000</v>
      </c>
      <c r="L52" s="35" t="n">
        <f aca="false">L6*(Invoer!L20-L43-L50+L51)</f>
        <v>441750</v>
      </c>
      <c r="M52" s="35" t="n">
        <f aca="false">M6*(Invoer!M20-M43-M50+M51)</f>
        <v>441750</v>
      </c>
    </row>
    <row r="53" customFormat="false" ht="15" hidden="false" customHeight="false" outlineLevel="0" collapsed="false">
      <c r="A53" s="9" t="s">
        <v>159</v>
      </c>
      <c r="B53" s="19" t="s">
        <v>101</v>
      </c>
      <c r="C53" s="29" t="n">
        <f aca="false">Invoer!C20*Invoer!C65</f>
        <v>26600</v>
      </c>
      <c r="D53" s="29" t="n">
        <f aca="false">Invoer!D20*Invoer!D65</f>
        <v>26600</v>
      </c>
      <c r="E53" s="29" t="n">
        <f aca="false">Invoer!E20*Invoer!E65</f>
        <v>26600</v>
      </c>
      <c r="F53" s="29" t="n">
        <f aca="false">Invoer!F20*Invoer!F65</f>
        <v>26600</v>
      </c>
      <c r="G53" s="29" t="n">
        <f aca="false">Invoer!G20*Invoer!G65</f>
        <v>8000</v>
      </c>
      <c r="H53" s="29" t="n">
        <f aca="false">Invoer!H20*Invoer!H65</f>
        <v>0</v>
      </c>
      <c r="I53" s="29" t="n">
        <f aca="false">Invoer!I20*Invoer!I65</f>
        <v>26600</v>
      </c>
      <c r="J53" s="29" t="n">
        <f aca="false">Invoer!J20*Invoer!J65</f>
        <v>26600</v>
      </c>
      <c r="K53" s="29" t="n">
        <f aca="false">Invoer!K20*Invoer!K65</f>
        <v>22000</v>
      </c>
      <c r="L53" s="29" t="n">
        <f aca="false">Invoer!L20*Invoer!L65</f>
        <v>26600</v>
      </c>
      <c r="M53" s="29" t="n">
        <f aca="false">Invoer!M20*Invoer!M65</f>
        <v>26600</v>
      </c>
    </row>
    <row r="54" customFormat="false" ht="15" hidden="false" customHeight="false" outlineLevel="0" collapsed="false">
      <c r="A54" s="9" t="s">
        <v>219</v>
      </c>
      <c r="B54" s="19" t="s">
        <v>101</v>
      </c>
      <c r="C54" s="29" t="n">
        <f aca="false">IF(Invoer!C69="Ja",Invoer!C20*Bankgarantie_pct,0)</f>
        <v>1330</v>
      </c>
      <c r="D54" s="29" t="n">
        <f aca="false">IF(Invoer!D69="Ja",Invoer!D20*Bankgarantie_pct,0)</f>
        <v>1330</v>
      </c>
      <c r="E54" s="29" t="n">
        <f aca="false">IF(Invoer!E69="Ja",Invoer!E20*Bankgarantie_pct,0)</f>
        <v>1330</v>
      </c>
      <c r="F54" s="29" t="n">
        <f aca="false">IF(Invoer!F69="Ja",Invoer!F20*Bankgarantie_pct,0)</f>
        <v>1330</v>
      </c>
      <c r="G54" s="29" t="n">
        <f aca="false">IF(Invoer!G69="Ja",Invoer!G20*Bankgarantie_pct,0)</f>
        <v>400</v>
      </c>
      <c r="H54" s="29" t="n">
        <f aca="false">IF(Invoer!H69="Ja",Invoer!H20*Bankgarantie_pct,0)</f>
        <v>650</v>
      </c>
      <c r="I54" s="29" t="n">
        <f aca="false">IF(Invoer!I69="Ja",Invoer!I20*Bankgarantie_pct,0)</f>
        <v>1330</v>
      </c>
      <c r="J54" s="29" t="n">
        <f aca="false">IF(Invoer!J69="Ja",Invoer!J20*Bankgarantie_pct,0)</f>
        <v>1330</v>
      </c>
      <c r="K54" s="29" t="n">
        <f aca="false">IF(Invoer!K69="Ja",Invoer!K20*Bankgarantie_pct,0)</f>
        <v>1100</v>
      </c>
      <c r="L54" s="29" t="n">
        <f aca="false">IF(Invoer!L69="Ja",Invoer!L20*Bankgarantie_pct,0)</f>
        <v>1330</v>
      </c>
      <c r="M54" s="29" t="n">
        <f aca="false">IF(Invoer!M69="Ja",Invoer!M20*Bankgarantie_pct,0)</f>
        <v>1330</v>
      </c>
    </row>
    <row r="55" customFormat="false" ht="15" hidden="false" customHeight="false" outlineLevel="0" collapsed="false">
      <c r="A55" s="9" t="s">
        <v>220</v>
      </c>
      <c r="B55" s="19" t="s">
        <v>101</v>
      </c>
      <c r="C55" s="29" t="n">
        <f aca="false">IF(Invoer!C70="Ja",Invoer!C20*Makelaar_pct,0)</f>
        <v>0</v>
      </c>
      <c r="D55" s="29" t="n">
        <f aca="false">IF(Invoer!D70="Ja",Invoer!D20*Makelaar_pct,0)</f>
        <v>0</v>
      </c>
      <c r="E55" s="29" t="n">
        <f aca="false">IF(Invoer!E70="Ja",Invoer!E20*Makelaar_pct,0)</f>
        <v>0</v>
      </c>
      <c r="F55" s="29" t="n">
        <f aca="false">IF(Invoer!F70="Ja",Invoer!F20*Makelaar_pct,0)</f>
        <v>0</v>
      </c>
      <c r="G55" s="29" t="n">
        <f aca="false">IF(Invoer!G70="Ja",Invoer!G20*Makelaar_pct,0)</f>
        <v>0</v>
      </c>
      <c r="H55" s="29" t="n">
        <f aca="false">IF(Invoer!H70="Ja",Invoer!H20*Makelaar_pct,0)</f>
        <v>0</v>
      </c>
      <c r="I55" s="29" t="n">
        <f aca="false">IF(Invoer!I70="Ja",Invoer!I20*Makelaar_pct,0)</f>
        <v>0</v>
      </c>
      <c r="J55" s="29" t="n">
        <f aca="false">IF(Invoer!J70="Ja",Invoer!J20*Makelaar_pct,0)</f>
        <v>0</v>
      </c>
      <c r="K55" s="29" t="n">
        <f aca="false">IF(Invoer!K70="Ja",Invoer!K20*Makelaar_pct,0)</f>
        <v>0</v>
      </c>
      <c r="L55" s="29" t="n">
        <f aca="false">IF(Invoer!L70="Ja",Invoer!L20*Makelaar_pct,0)</f>
        <v>0</v>
      </c>
      <c r="M55" s="29" t="n">
        <f aca="false">IF(Invoer!M70="Ja",Invoer!M20*Makelaar_pct,0)</f>
        <v>0</v>
      </c>
    </row>
    <row r="56" customFormat="false" ht="15" hidden="false" customHeight="false" outlineLevel="0" collapsed="false">
      <c r="A56" s="5" t="s">
        <v>221</v>
      </c>
      <c r="B56" s="19" t="s">
        <v>101</v>
      </c>
      <c r="C56" s="35" t="n">
        <f aca="false">C53+Invoer!C66+Invoer!C67+Invoer!C68+C54+C55</f>
        <v>32230</v>
      </c>
      <c r="D56" s="35" t="n">
        <f aca="false">D53+Invoer!D66+Invoer!D67+Invoer!D68+D54+D55</f>
        <v>32230</v>
      </c>
      <c r="E56" s="35" t="n">
        <f aca="false">E53+Invoer!E66+Invoer!E67+Invoer!E68+E54+E55</f>
        <v>32230</v>
      </c>
      <c r="F56" s="35" t="n">
        <f aca="false">F53+Invoer!F66+Invoer!F67+Invoer!F68+F54+F55</f>
        <v>32230</v>
      </c>
      <c r="G56" s="35" t="n">
        <f aca="false">G53+Invoer!G66+Invoer!G67+Invoer!G68+G54+G55</f>
        <v>12700</v>
      </c>
      <c r="H56" s="35" t="n">
        <f aca="false">H53+Invoer!H66+Invoer!H67+Invoer!H68+H54+H55</f>
        <v>4950</v>
      </c>
      <c r="I56" s="35" t="n">
        <f aca="false">I53+Invoer!I66+Invoer!I67+Invoer!I68+I54+I55</f>
        <v>32230</v>
      </c>
      <c r="J56" s="35" t="n">
        <f aca="false">J53+Invoer!J66+Invoer!J67+Invoer!J68+J54+J55</f>
        <v>32230</v>
      </c>
      <c r="K56" s="35" t="n">
        <f aca="false">K53+Invoer!K66+Invoer!K67+Invoer!K68+K54+K55</f>
        <v>27400</v>
      </c>
      <c r="L56" s="35" t="n">
        <f aca="false">L53+Invoer!L66+Invoer!L67+Invoer!L68+L54+L55</f>
        <v>32230</v>
      </c>
      <c r="M56" s="35" t="n">
        <f aca="false">M53+Invoer!M66+Invoer!M67+Invoer!M68+M54+M55</f>
        <v>32230</v>
      </c>
    </row>
    <row r="57" customFormat="false" ht="15" hidden="false" customHeight="false" outlineLevel="0" collapsed="false">
      <c r="A57" s="9" t="s">
        <v>222</v>
      </c>
      <c r="B57" s="19" t="s">
        <v>101</v>
      </c>
      <c r="C57" s="29" t="n">
        <f aca="false">IF(Invoer!C71="Ja",C56,0)</f>
        <v>32230</v>
      </c>
      <c r="D57" s="29" t="n">
        <f aca="false">IF(Invoer!D71="Ja",D56,0)</f>
        <v>32230</v>
      </c>
      <c r="E57" s="29" t="n">
        <f aca="false">IF(Invoer!E71="Ja",E56,0)</f>
        <v>32230</v>
      </c>
      <c r="F57" s="29" t="n">
        <f aca="false">IF(Invoer!F71="Ja",F56,0)</f>
        <v>32230</v>
      </c>
      <c r="G57" s="29" t="n">
        <f aca="false">IF(Invoer!G71="Ja",G56,0)</f>
        <v>12700</v>
      </c>
      <c r="H57" s="29" t="n">
        <f aca="false">IF(Invoer!H71="Ja",H56,0)</f>
        <v>4950</v>
      </c>
      <c r="I57" s="29" t="n">
        <f aca="false">IF(Invoer!I71="Ja",I56,0)</f>
        <v>32230</v>
      </c>
      <c r="J57" s="29" t="n">
        <f aca="false">IF(Invoer!J71="Ja",J56,0)</f>
        <v>32230</v>
      </c>
      <c r="K57" s="29" t="n">
        <f aca="false">IF(Invoer!K71="Ja",K56,0)</f>
        <v>27400</v>
      </c>
      <c r="L57" s="29" t="n">
        <f aca="false">IF(Invoer!L71="Ja",L56,0)</f>
        <v>32230</v>
      </c>
      <c r="M57" s="29" t="n">
        <f aca="false">IF(Invoer!M71="Ja",M56,0)</f>
        <v>32230</v>
      </c>
    </row>
    <row r="58" customFormat="false" ht="15" hidden="false" customHeight="false" outlineLevel="0" collapsed="false">
      <c r="A58" s="9" t="s">
        <v>223</v>
      </c>
      <c r="B58" s="19" t="s">
        <v>101</v>
      </c>
      <c r="C58" s="29" t="n">
        <f aca="false">MAX(0,Invoer!C64-C57)</f>
        <v>117770</v>
      </c>
      <c r="D58" s="29" t="n">
        <f aca="false">MAX(0,Invoer!D64-D57)</f>
        <v>117770</v>
      </c>
      <c r="E58" s="29" t="n">
        <f aca="false">MAX(0,Invoer!E64-E57)</f>
        <v>117770</v>
      </c>
      <c r="F58" s="29" t="n">
        <f aca="false">MAX(0,Invoer!F64-F57)</f>
        <v>117770</v>
      </c>
      <c r="G58" s="29" t="n">
        <f aca="false">MAX(0,Invoer!G64-G57)</f>
        <v>27300</v>
      </c>
      <c r="H58" s="29" t="n">
        <f aca="false">MAX(0,Invoer!H64-H57)</f>
        <v>55050</v>
      </c>
      <c r="I58" s="29" t="n">
        <f aca="false">MAX(0,Invoer!I64-I57)</f>
        <v>117770</v>
      </c>
      <c r="J58" s="29" t="n">
        <f aca="false">MAX(0,Invoer!J64-J57)</f>
        <v>117770</v>
      </c>
      <c r="K58" s="29" t="n">
        <f aca="false">MAX(0,Invoer!K64-K57)</f>
        <v>62600</v>
      </c>
      <c r="L58" s="29" t="n">
        <f aca="false">MAX(0,Invoer!L64-L57)</f>
        <v>117770</v>
      </c>
      <c r="M58" s="29" t="n">
        <f aca="false">MAX(0,Invoer!M64-M57)</f>
        <v>117770</v>
      </c>
    </row>
    <row r="59" customFormat="false" ht="15" hidden="false" customHeight="false" outlineLevel="0" collapsed="false">
      <c r="A59" s="9" t="s">
        <v>224</v>
      </c>
      <c r="B59" s="19" t="s">
        <v>101</v>
      </c>
      <c r="C59" s="29" t="n">
        <f aca="false">MIN(C58,MAX(0,C52))</f>
        <v>117770</v>
      </c>
      <c r="D59" s="29" t="n">
        <f aca="false">MIN(D58,MAX(0,D52))</f>
        <v>117770</v>
      </c>
      <c r="E59" s="29" t="n">
        <f aca="false">MIN(E58,MAX(0,E52))</f>
        <v>117770</v>
      </c>
      <c r="F59" s="29" t="n">
        <f aca="false">MIN(F58,MAX(0,F52))</f>
        <v>117770</v>
      </c>
      <c r="G59" s="29" t="n">
        <f aca="false">MIN(G58,MAX(0,G52))</f>
        <v>0</v>
      </c>
      <c r="H59" s="29" t="n">
        <f aca="false">MIN(H58,MAX(0,H52))</f>
        <v>0</v>
      </c>
      <c r="I59" s="29" t="n">
        <f aca="false">MIN(I58,MAX(0,I52))</f>
        <v>117770</v>
      </c>
      <c r="J59" s="29" t="n">
        <f aca="false">MIN(J58,MAX(0,J52))</f>
        <v>117770</v>
      </c>
      <c r="K59" s="29" t="n">
        <f aca="false">MIN(K58,MAX(0,K52))</f>
        <v>62600</v>
      </c>
      <c r="L59" s="29" t="n">
        <f aca="false">MIN(L58,MAX(0,L52))</f>
        <v>117770</v>
      </c>
      <c r="M59" s="29" t="n">
        <f aca="false">MIN(M58,MAX(0,M52))</f>
        <v>117770</v>
      </c>
    </row>
    <row r="60" customFormat="false" ht="15" hidden="false" customHeight="false" outlineLevel="0" collapsed="false">
      <c r="A60" s="5" t="s">
        <v>225</v>
      </c>
      <c r="B60" s="19" t="s">
        <v>101</v>
      </c>
      <c r="C60" s="35" t="n">
        <f aca="false">MAX(0,C52-C59)</f>
        <v>323980</v>
      </c>
      <c r="D60" s="35" t="n">
        <f aca="false">MAX(0,D52-D59)</f>
        <v>323980</v>
      </c>
      <c r="E60" s="35" t="n">
        <f aca="false">MAX(0,E52-E59)</f>
        <v>323980</v>
      </c>
      <c r="F60" s="35" t="n">
        <f aca="false">MAX(0,F52-F59)</f>
        <v>323980</v>
      </c>
      <c r="G60" s="35" t="n">
        <f aca="false">MAX(0,G52-G59)</f>
        <v>0</v>
      </c>
      <c r="H60" s="35" t="n">
        <f aca="false">MAX(0,H52-H59)</f>
        <v>0</v>
      </c>
      <c r="I60" s="35" t="n">
        <f aca="false">MAX(0,I52-I59)</f>
        <v>947729.91</v>
      </c>
      <c r="J60" s="35" t="n">
        <f aca="false">MAX(0,J52-J59)</f>
        <v>323980</v>
      </c>
      <c r="K60" s="35" t="n">
        <f aca="false">MAX(0,K52-K59)</f>
        <v>182400</v>
      </c>
      <c r="L60" s="35" t="n">
        <f aca="false">MAX(0,L52-L59)</f>
        <v>323980</v>
      </c>
      <c r="M60" s="35" t="n">
        <f aca="false">MAX(0,M52-M59)</f>
        <v>323980</v>
      </c>
    </row>
    <row r="61" customFormat="false" ht="15" hidden="false" customHeight="false" outlineLevel="0" collapsed="false">
      <c r="A61" s="7" t="s">
        <v>226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</row>
    <row r="62" customFormat="false" ht="15" hidden="false" customHeight="false" outlineLevel="0" collapsed="false">
      <c r="A62" s="9" t="s">
        <v>227</v>
      </c>
      <c r="B62" s="19" t="s">
        <v>101</v>
      </c>
      <c r="C62" s="29" t="n">
        <f aca="false">C6*C60</f>
        <v>323980</v>
      </c>
      <c r="D62" s="29" t="n">
        <f aca="false">D6*D60</f>
        <v>323980</v>
      </c>
      <c r="E62" s="29" t="n">
        <f aca="false">E6*E60</f>
        <v>323980</v>
      </c>
      <c r="F62" s="29" t="n">
        <f aca="false">F6*F60</f>
        <v>323980</v>
      </c>
      <c r="G62" s="29" t="n">
        <f aca="false">G6*G60</f>
        <v>0</v>
      </c>
      <c r="H62" s="29" t="n">
        <f aca="false">H6*H60</f>
        <v>0</v>
      </c>
      <c r="I62" s="29" t="n">
        <f aca="false">I6*I60</f>
        <v>947729.91</v>
      </c>
      <c r="J62" s="29" t="n">
        <f aca="false">J6*J60</f>
        <v>323980</v>
      </c>
      <c r="K62" s="29" t="n">
        <f aca="false">K6*K60</f>
        <v>182400</v>
      </c>
      <c r="L62" s="29" t="n">
        <f aca="false">L6*L60</f>
        <v>323980</v>
      </c>
      <c r="M62" s="29" t="n">
        <f aca="false">M6*M60</f>
        <v>323980</v>
      </c>
    </row>
    <row r="63" customFormat="false" ht="15" hidden="false" customHeight="false" outlineLevel="0" collapsed="false">
      <c r="A63" s="9" t="s">
        <v>228</v>
      </c>
      <c r="B63" s="19" t="s">
        <v>101</v>
      </c>
      <c r="C63" s="29" t="n">
        <f aca="false">C8*C42</f>
        <v>623749.91</v>
      </c>
      <c r="D63" s="29" t="n">
        <f aca="false">D8*D42</f>
        <v>623749.91</v>
      </c>
      <c r="E63" s="29" t="n">
        <f aca="false">E8*E42</f>
        <v>623749.91</v>
      </c>
      <c r="F63" s="29" t="n">
        <f aca="false">F8*F42</f>
        <v>623749.91</v>
      </c>
      <c r="G63" s="29" t="n">
        <f aca="false">G8*G42</f>
        <v>0</v>
      </c>
      <c r="H63" s="29" t="n">
        <f aca="false">H8*H42</f>
        <v>0</v>
      </c>
      <c r="I63" s="29" t="n">
        <f aca="false">I8*I42</f>
        <v>0</v>
      </c>
      <c r="J63" s="29" t="n">
        <f aca="false">J8*J42</f>
        <v>623749.91</v>
      </c>
      <c r="K63" s="29" t="n">
        <f aca="false">K8*K42</f>
        <v>550000</v>
      </c>
      <c r="L63" s="29" t="n">
        <f aca="false">L8*L42</f>
        <v>623749.91</v>
      </c>
      <c r="M63" s="29" t="n">
        <f aca="false">M8*M42</f>
        <v>623749.91</v>
      </c>
    </row>
    <row r="64" customFormat="false" ht="15" hidden="false" customHeight="false" outlineLevel="0" collapsed="false">
      <c r="A64" s="9" t="s">
        <v>229</v>
      </c>
      <c r="B64" s="19"/>
      <c r="C64" s="36" t="n">
        <f aca="false">C8*(C22*C24+C27*C29+C32*C34+C37*C39)</f>
        <v>20028.013495</v>
      </c>
      <c r="D64" s="36" t="n">
        <f aca="false">D8*(D22*D24+D27*D29+D32*D34+D37*D39)</f>
        <v>20028.013495</v>
      </c>
      <c r="E64" s="36" t="n">
        <f aca="false">E8*(E22*E24+E27*E29+E32*E34+E37*E39)</f>
        <v>31187.4955</v>
      </c>
      <c r="F64" s="36" t="n">
        <f aca="false">F8*(F22*F24+F27*F29+F32*F34+F37*F39)</f>
        <v>20028.013495</v>
      </c>
      <c r="G64" s="36" t="n">
        <f aca="false">G8*(G22*G24+G27*G29+G32*G34+G37*G39)</f>
        <v>0</v>
      </c>
      <c r="H64" s="36" t="n">
        <f aca="false">H8*(H22*H24+H27*H29+H32*H34+H37*H39)</f>
        <v>0</v>
      </c>
      <c r="I64" s="36" t="n">
        <f aca="false">I8*(I22*I24+I27*I29+I32*I34+I37*I39)</f>
        <v>0</v>
      </c>
      <c r="J64" s="36" t="n">
        <f aca="false">J8*(J22*J24+J27*J29+J32*J34+J37*J39)</f>
        <v>20028.013495</v>
      </c>
      <c r="K64" s="36" t="n">
        <f aca="false">K8*(K22*K24+K27*K29+K32*K34+K37*K39)</f>
        <v>27500</v>
      </c>
      <c r="L64" s="36" t="n">
        <f aca="false">L8*(L22*L24+L27*L29+L32*L34+L37*L39)</f>
        <v>20028.013495</v>
      </c>
      <c r="M64" s="36" t="n">
        <f aca="false">M8*(M22*M24+M27*M29+M32*M34+M37*M39)</f>
        <v>20028.013495</v>
      </c>
    </row>
    <row r="65" customFormat="false" ht="15" hidden="false" customHeight="false" outlineLevel="0" collapsed="false">
      <c r="A65" s="9" t="s">
        <v>230</v>
      </c>
      <c r="B65" s="19"/>
      <c r="C65" s="36" t="n">
        <f aca="false">C8*(C22*Invoer!C44+C27*Invoer!C49+C32*Invoer!C54+C37*Invoer!C59)</f>
        <v>9922.489495</v>
      </c>
      <c r="D65" s="36" t="n">
        <f aca="false">D8*(D22*Invoer!D44+D27*Invoer!D49+D32*Invoer!D54+D37*Invoer!D59)</f>
        <v>9922.489495</v>
      </c>
      <c r="E65" s="36" t="n">
        <f aca="false">E8*(E22*Invoer!E44+E27*Invoer!E49+E32*Invoer!E54+E37*Invoer!E59)</f>
        <v>9922.489495</v>
      </c>
      <c r="F65" s="36" t="n">
        <f aca="false">F8*(F22*Invoer!F44+F27*Invoer!F49+F32*Invoer!F54+F37*Invoer!F59)</f>
        <v>9922.489495</v>
      </c>
      <c r="G65" s="36" t="n">
        <f aca="false">G8*(G22*Invoer!G44+G27*Invoer!G49+G32*Invoer!G54+G37*Invoer!G59)</f>
        <v>0</v>
      </c>
      <c r="H65" s="36" t="n">
        <f aca="false">H8*(H22*Invoer!H44+H27*Invoer!H49+H32*Invoer!H54+H37*Invoer!H59)</f>
        <v>0</v>
      </c>
      <c r="I65" s="36" t="n">
        <f aca="false">I8*(I22*Invoer!I44+I27*Invoer!I49+I32*Invoer!I54+I37*Invoer!I59)</f>
        <v>0</v>
      </c>
      <c r="J65" s="36" t="n">
        <f aca="false">J8*(J22*Invoer!J44+J27*Invoer!J49+J32*Invoer!J54+J37*Invoer!J59)</f>
        <v>9922.489495</v>
      </c>
      <c r="K65" s="36" t="n">
        <f aca="false">K8*(K22*Invoer!K44+K27*Invoer!K49+K32*Invoer!K54+K37*Invoer!K59)</f>
        <v>18535</v>
      </c>
      <c r="L65" s="36" t="n">
        <f aca="false">L8*(L22*Invoer!L44+L27*Invoer!L49+L32*Invoer!L54+L37*Invoer!L59)</f>
        <v>9922.489495</v>
      </c>
      <c r="M65" s="36" t="n">
        <f aca="false">M8*(M22*Invoer!M44+M27*Invoer!M49+M32*Invoer!M54+M37*Invoer!M59)</f>
        <v>9922.489495</v>
      </c>
    </row>
    <row r="66" customFormat="false" ht="15" hidden="false" customHeight="false" outlineLevel="0" collapsed="false">
      <c r="A66" s="9" t="s">
        <v>231</v>
      </c>
      <c r="B66" s="19" t="s">
        <v>101</v>
      </c>
      <c r="C66" s="29" t="n">
        <f aca="false">IF(C62&gt;0,C62,IF(C63&gt;0,0,1))</f>
        <v>323980</v>
      </c>
      <c r="D66" s="29" t="n">
        <f aca="false">IF(D62&gt;0,D62,IF(D63&gt;0,0,1))</f>
        <v>323980</v>
      </c>
      <c r="E66" s="29" t="n">
        <f aca="false">IF(E62&gt;0,E62,IF(E63&gt;0,0,1))</f>
        <v>323980</v>
      </c>
      <c r="F66" s="29" t="n">
        <f aca="false">IF(F62&gt;0,F62,IF(F63&gt;0,0,1))</f>
        <v>323980</v>
      </c>
      <c r="G66" s="29" t="n">
        <f aca="false">IF(G62&gt;0,G62,IF(G63&gt;0,0,1))</f>
        <v>1</v>
      </c>
      <c r="H66" s="29" t="n">
        <f aca="false">IF(H62&gt;0,H62,IF(H63&gt;0,0,1))</f>
        <v>1</v>
      </c>
      <c r="I66" s="29" t="n">
        <f aca="false">IF(I62&gt;0,I62,IF(I63&gt;0,0,1))</f>
        <v>947729.91</v>
      </c>
      <c r="J66" s="29" t="n">
        <f aca="false">IF(J62&gt;0,J62,IF(J63&gt;0,0,1))</f>
        <v>323980</v>
      </c>
      <c r="K66" s="29" t="n">
        <f aca="false">IF(K62&gt;0,K62,IF(K63&gt;0,0,1))</f>
        <v>182400</v>
      </c>
      <c r="L66" s="29" t="n">
        <f aca="false">IF(L62&gt;0,L62,IF(L63&gt;0,0,1))</f>
        <v>323980</v>
      </c>
      <c r="M66" s="29" t="n">
        <f aca="false">IF(M62&gt;0,M62,IF(M63&gt;0,0,1))</f>
        <v>323980</v>
      </c>
    </row>
    <row r="67" customFormat="false" ht="15" hidden="false" customHeight="false" outlineLevel="0" collapsed="false">
      <c r="A67" s="9" t="s">
        <v>54</v>
      </c>
      <c r="B67" s="19" t="s">
        <v>157</v>
      </c>
      <c r="C67" s="30" t="n">
        <f aca="false">IF(Invoer!C19&lt;10,MAX(Invoer!C18,AFM_Toetsrente),Invoer!C18)</f>
        <v>0.0469</v>
      </c>
      <c r="D67" s="30" t="n">
        <f aca="false">IF(Invoer!D19&lt;10,MAX(Invoer!D18,AFM_Toetsrente),Invoer!D18)</f>
        <v>0.0469</v>
      </c>
      <c r="E67" s="30" t="n">
        <f aca="false">IF(Invoer!E19&lt;10,MAX(Invoer!E18,AFM_Toetsrente),Invoer!E18)</f>
        <v>0.0469</v>
      </c>
      <c r="F67" s="30" t="n">
        <f aca="false">IF(Invoer!F19&lt;10,MAX(Invoer!F18,AFM_Toetsrente),Invoer!F18)</f>
        <v>0.05</v>
      </c>
      <c r="G67" s="30" t="n">
        <f aca="false">IF(Invoer!G19&lt;10,MAX(Invoer!G18,AFM_Toetsrente),Invoer!G18)</f>
        <v>0.0469</v>
      </c>
      <c r="H67" s="30" t="n">
        <f aca="false">IF(Invoer!H19&lt;10,MAX(Invoer!H18,AFM_Toetsrente),Invoer!H18)</f>
        <v>0.0469</v>
      </c>
      <c r="I67" s="30" t="n">
        <f aca="false">IF(Invoer!I19&lt;10,MAX(Invoer!I18,AFM_Toetsrente),Invoer!I18)</f>
        <v>0.0469</v>
      </c>
      <c r="J67" s="30" t="n">
        <f aca="false">IF(Invoer!J19&lt;10,MAX(Invoer!J18,AFM_Toetsrente),Invoer!J18)</f>
        <v>0.0469</v>
      </c>
      <c r="K67" s="30" t="n">
        <f aca="false">IF(Invoer!K19&lt;10,MAX(Invoer!K18,AFM_Toetsrente),Invoer!K18)</f>
        <v>0.0469</v>
      </c>
      <c r="L67" s="30" t="n">
        <f aca="false">IF(Invoer!L19&lt;10,MAX(Invoer!L18,AFM_Toetsrente),Invoer!L18)</f>
        <v>0.0469</v>
      </c>
      <c r="M67" s="30" t="n">
        <f aca="false">IF(Invoer!M19&lt;10,MAX(Invoer!M18,AFM_Toetsrente),Invoer!M18)</f>
        <v>0.0469</v>
      </c>
    </row>
    <row r="68" customFormat="false" ht="15" hidden="false" customHeight="false" outlineLevel="0" collapsed="false">
      <c r="A68" s="9" t="s">
        <v>232</v>
      </c>
      <c r="B68" s="19" t="s">
        <v>157</v>
      </c>
      <c r="C68" s="30" t="n">
        <f aca="false">(C64+C66*C67)/(C63+C66)</f>
        <v>0.0371653095711625</v>
      </c>
      <c r="D68" s="30" t="n">
        <f aca="false">(D64+D66*D67)/(D63+D66)</f>
        <v>0.0371653095711625</v>
      </c>
      <c r="E68" s="30" t="n">
        <f aca="false">(E64+E66*E67)/(E63+E66)</f>
        <v>0.0489402698074602</v>
      </c>
      <c r="F68" s="30" t="n">
        <f aca="false">(F64+F66*F67)/(F63+F66)</f>
        <v>0.0382250397637023</v>
      </c>
      <c r="G68" s="30" t="n">
        <f aca="false">(G64+G66*G67)/(G63+G66)</f>
        <v>0.0469</v>
      </c>
      <c r="H68" s="30" t="n">
        <f aca="false">(H64+H66*H67)/(H63+H66)</f>
        <v>0.0469</v>
      </c>
      <c r="I68" s="30" t="n">
        <f aca="false">(I64+I66*I67)/(I63+I66)</f>
        <v>0.0469</v>
      </c>
      <c r="J68" s="30" t="n">
        <f aca="false">(J64+J66*J67)/(J63+J66)</f>
        <v>0.0371653095711625</v>
      </c>
      <c r="K68" s="30" t="n">
        <f aca="false">(K64+K66*K67)/(K63+K66)</f>
        <v>0.0492279628618241</v>
      </c>
      <c r="L68" s="30" t="n">
        <f aca="false">(L64+L66*L67)/(L63+L66)</f>
        <v>0.0371653095711625</v>
      </c>
      <c r="M68" s="30" t="n">
        <f aca="false">(M64+M66*M67)/(M63+M66)</f>
        <v>0.0371653095711625</v>
      </c>
    </row>
    <row r="69" customFormat="false" ht="15" hidden="false" customHeight="false" outlineLevel="0" collapsed="false">
      <c r="A69" s="9" t="s">
        <v>233</v>
      </c>
      <c r="B69" s="19" t="s">
        <v>157</v>
      </c>
      <c r="C69" s="30" t="n">
        <f aca="false">(C65+C66*Invoer!C18)/(C63+C66)</f>
        <v>0.026502436221518</v>
      </c>
      <c r="D69" s="30" t="n">
        <f aca="false">(D65+D66*Invoer!D18)/(D63+D66)</f>
        <v>0.026502436221518</v>
      </c>
      <c r="E69" s="30" t="n">
        <f aca="false">(E65+E66*Invoer!E18)/(E63+E66)</f>
        <v>0.026502436221518</v>
      </c>
      <c r="F69" s="30" t="n">
        <f aca="false">(F65+F66*Invoer!F18)/(F63+F66)</f>
        <v>0.026502436221518</v>
      </c>
      <c r="G69" s="30" t="n">
        <f aca="false">(G65+G66*Invoer!G18)/(G63+G66)</f>
        <v>0.0469</v>
      </c>
      <c r="H69" s="30" t="n">
        <f aca="false">(H65+H66*Invoer!H18)/(H63+H66)</f>
        <v>0.0469</v>
      </c>
      <c r="I69" s="30" t="n">
        <f aca="false">(I65+I66*Invoer!I18)/(I63+I66)</f>
        <v>0.0469</v>
      </c>
      <c r="J69" s="30" t="n">
        <f aca="false">(J65+J66*Invoer!J18)/(J63+J66)</f>
        <v>0.026502436221518</v>
      </c>
      <c r="K69" s="30" t="n">
        <f aca="false">(K65+K66*Invoer!K18)/(K63+K66)</f>
        <v>0.0369873839432004</v>
      </c>
      <c r="L69" s="30" t="n">
        <f aca="false">(L65+L66*Invoer!L18)/(L63+L66)</f>
        <v>0.026502436221518</v>
      </c>
      <c r="M69" s="30" t="n">
        <f aca="false">(M65+M66*Invoer!M18)/(M63+M66)</f>
        <v>0.026502436221518</v>
      </c>
    </row>
    <row r="70" customFormat="false" ht="15" hidden="false" customHeight="false" outlineLevel="0" collapsed="false">
      <c r="A70" s="9" t="s">
        <v>234</v>
      </c>
      <c r="B70" s="19" t="s">
        <v>157</v>
      </c>
      <c r="C70" s="30" t="n">
        <f aca="false">IF(Invoer!C27="Contractrente",C69,C68)</f>
        <v>0.0371653095711625</v>
      </c>
      <c r="D70" s="30" t="n">
        <f aca="false">IF(Invoer!D27="Contractrente",D69,D68)</f>
        <v>0.0371653095711625</v>
      </c>
      <c r="E70" s="30" t="n">
        <f aca="false">IF(Invoer!E27="Contractrente",E69,E68)</f>
        <v>0.0489402698074602</v>
      </c>
      <c r="F70" s="30" t="n">
        <f aca="false">IF(Invoer!F27="Contractrente",F69,F68)</f>
        <v>0.0382250397637023</v>
      </c>
      <c r="G70" s="30" t="n">
        <f aca="false">IF(Invoer!G27="Contractrente",G69,G68)</f>
        <v>0.0469</v>
      </c>
      <c r="H70" s="30" t="n">
        <f aca="false">IF(Invoer!H27="Contractrente",H69,H68)</f>
        <v>0.0469</v>
      </c>
      <c r="I70" s="30" t="n">
        <f aca="false">IF(Invoer!I27="Contractrente",I69,I68)</f>
        <v>0.0469</v>
      </c>
      <c r="J70" s="30" t="n">
        <f aca="false">IF(Invoer!J27="Contractrente",J69,J68)</f>
        <v>0.0371653095711625</v>
      </c>
      <c r="K70" s="30" t="n">
        <f aca="false">IF(Invoer!K27="Contractrente",K69,K68)</f>
        <v>0.0369873839432004</v>
      </c>
      <c r="L70" s="30" t="n">
        <f aca="false">IF(Invoer!L27="Contractrente",L69,L68)</f>
        <v>0.0371653095711625</v>
      </c>
      <c r="M70" s="30" t="n">
        <f aca="false">IF(Invoer!M27="Contractrente",M69,M68)</f>
        <v>0.0371653095711625</v>
      </c>
    </row>
    <row r="71" customFormat="false" ht="15" hidden="false" customHeight="false" outlineLevel="0" collapsed="false">
      <c r="A71" s="9" t="s">
        <v>235</v>
      </c>
      <c r="B71" s="19"/>
      <c r="C71" s="31" t="n">
        <f aca="false">INDEX(Studie_factor,SUMPRODUCT(--(Studie_upTo&lt;ROUND(C70,5)))+1)</f>
        <v>1.25</v>
      </c>
      <c r="D71" s="31" t="n">
        <f aca="false">INDEX(Studie_factor,SUMPRODUCT(--(Studie_upTo&lt;ROUND(D70,5)))+1)</f>
        <v>1.25</v>
      </c>
      <c r="E71" s="31" t="n">
        <f aca="false">INDEX(Studie_factor,SUMPRODUCT(--(Studie_upTo&lt;ROUND(E70,5)))+1)</f>
        <v>1.3</v>
      </c>
      <c r="F71" s="31" t="n">
        <f aca="false">INDEX(Studie_factor,SUMPRODUCT(--(Studie_upTo&lt;ROUND(F70,5)))+1)</f>
        <v>1.25</v>
      </c>
      <c r="G71" s="31" t="n">
        <f aca="false">INDEX(Studie_factor,SUMPRODUCT(--(Studie_upTo&lt;ROUND(G70,5)))+1)</f>
        <v>1.3</v>
      </c>
      <c r="H71" s="31" t="n">
        <f aca="false">INDEX(Studie_factor,SUMPRODUCT(--(Studie_upTo&lt;ROUND(H70,5)))+1)</f>
        <v>1.3</v>
      </c>
      <c r="I71" s="31" t="n">
        <f aca="false">INDEX(Studie_factor,SUMPRODUCT(--(Studie_upTo&lt;ROUND(I70,5)))+1)</f>
        <v>1.3</v>
      </c>
      <c r="J71" s="31" t="n">
        <f aca="false">INDEX(Studie_factor,SUMPRODUCT(--(Studie_upTo&lt;ROUND(J70,5)))+1)</f>
        <v>1.25</v>
      </c>
      <c r="K71" s="31" t="n">
        <f aca="false">INDEX(Studie_factor,SUMPRODUCT(--(Studie_upTo&lt;ROUND(K70,5)))+1)</f>
        <v>1.25</v>
      </c>
      <c r="L71" s="31" t="n">
        <f aca="false">INDEX(Studie_factor,SUMPRODUCT(--(Studie_upTo&lt;ROUND(L70,5)))+1)</f>
        <v>1.25</v>
      </c>
      <c r="M71" s="31" t="n">
        <f aca="false">INDEX(Studie_factor,SUMPRODUCT(--(Studie_upTo&lt;ROUND(M70,5)))+1)</f>
        <v>1.25</v>
      </c>
    </row>
    <row r="72" customFormat="false" ht="15" hidden="false" customHeight="false" outlineLevel="0" collapsed="false">
      <c r="A72" s="9" t="s">
        <v>236</v>
      </c>
      <c r="B72" s="19" t="s">
        <v>157</v>
      </c>
      <c r="C72" s="30" t="n">
        <f aca="false">IF(Invoer!C28="Gewogen",C68,C10)</f>
        <v>0.0469</v>
      </c>
      <c r="D72" s="30" t="n">
        <f aca="false">IF(Invoer!D28="Gewogen",D68,D10)</f>
        <v>0.0469</v>
      </c>
      <c r="E72" s="30" t="n">
        <f aca="false">IF(Invoer!E28="Gewogen",E68,E10)</f>
        <v>0.0469</v>
      </c>
      <c r="F72" s="30" t="n">
        <f aca="false">IF(Invoer!F28="Gewogen",F68,F10)</f>
        <v>0.05</v>
      </c>
      <c r="G72" s="30" t="n">
        <f aca="false">IF(Invoer!G28="Gewogen",G68,G10)</f>
        <v>0.0469</v>
      </c>
      <c r="H72" s="30" t="n">
        <f aca="false">IF(Invoer!H28="Gewogen",H68,H10)</f>
        <v>0.0469</v>
      </c>
      <c r="I72" s="30" t="n">
        <f aca="false">IF(Invoer!I28="Gewogen",I68,I10)</f>
        <v>0.0469</v>
      </c>
      <c r="J72" s="30" t="n">
        <f aca="false">IF(Invoer!J28="Gewogen",J68,J10)</f>
        <v>0.0469</v>
      </c>
      <c r="K72" s="30" t="n">
        <f aca="false">IF(Invoer!K28="Gewogen",K68,K10)</f>
        <v>0.0469</v>
      </c>
      <c r="L72" s="30" t="n">
        <f aca="false">IF(Invoer!L28="Gewogen",L68,L10)</f>
        <v>0.0469</v>
      </c>
      <c r="M72" s="30" t="n">
        <f aca="false">IF(Invoer!M28="Gewogen",M68,M10)</f>
        <v>0.0469</v>
      </c>
    </row>
    <row r="73" customFormat="false" ht="15" hidden="false" customHeight="false" outlineLevel="0" collapsed="false">
      <c r="A73" s="9" t="s">
        <v>237</v>
      </c>
      <c r="B73" s="19"/>
      <c r="C73" s="37" t="n">
        <f aca="false">IF(C72=0,1/360,(C72/12)/(1-(1+C72/12)^(-360)))</f>
        <v>0.00518036926019821</v>
      </c>
      <c r="D73" s="37" t="n">
        <f aca="false">IF(D72=0,1/360,(D72/12)/(1-(1+D72/12)^(-360)))</f>
        <v>0.00518036926019821</v>
      </c>
      <c r="E73" s="37" t="n">
        <f aca="false">IF(E72=0,1/360,(E72/12)/(1-(1+E72/12)^(-360)))</f>
        <v>0.00518036926019821</v>
      </c>
      <c r="F73" s="37" t="n">
        <f aca="false">IF(F72=0,1/360,(F72/12)/(1-(1+F72/12)^(-360)))</f>
        <v>0.0053682162301214</v>
      </c>
      <c r="G73" s="37" t="n">
        <f aca="false">IF(G72=0,1/360,(G72/12)/(1-(1+G72/12)^(-360)))</f>
        <v>0.00518036926019821</v>
      </c>
      <c r="H73" s="37" t="n">
        <f aca="false">IF(H72=0,1/360,(H72/12)/(1-(1+H72/12)^(-360)))</f>
        <v>0.00518036926019821</v>
      </c>
      <c r="I73" s="37" t="n">
        <f aca="false">IF(I72=0,1/360,(I72/12)/(1-(1+I72/12)^(-360)))</f>
        <v>0.00518036926019821</v>
      </c>
      <c r="J73" s="37" t="n">
        <f aca="false">IF(J72=0,1/360,(J72/12)/(1-(1+J72/12)^(-360)))</f>
        <v>0.00518036926019821</v>
      </c>
      <c r="K73" s="37" t="n">
        <f aca="false">IF(K72=0,1/360,(K72/12)/(1-(1+K72/12)^(-360)))</f>
        <v>0.00518036926019821</v>
      </c>
      <c r="L73" s="37" t="n">
        <f aca="false">IF(L72=0,1/360,(L72/12)/(1-(1+L72/12)^(-360)))</f>
        <v>0.00518036926019821</v>
      </c>
      <c r="M73" s="37" t="n">
        <f aca="false">IF(M72=0,1/360,(M72/12)/(1-(1+M72/12)^(-360)))</f>
        <v>0.00518036926019821</v>
      </c>
    </row>
    <row r="74" customFormat="false" ht="15" hidden="false" customHeight="false" outlineLevel="0" collapsed="false">
      <c r="A74" s="9" t="s">
        <v>238</v>
      </c>
      <c r="B74" s="19" t="s">
        <v>178</v>
      </c>
      <c r="C74" s="32" t="n">
        <f aca="false">Invoer!C26*C71</f>
        <v>415</v>
      </c>
      <c r="D74" s="32" t="n">
        <f aca="false">Invoer!D26*D71</f>
        <v>415</v>
      </c>
      <c r="E74" s="32" t="n">
        <f aca="false">Invoer!E26*E71</f>
        <v>431.6</v>
      </c>
      <c r="F74" s="32" t="n">
        <f aca="false">Invoer!F26*F71</f>
        <v>415</v>
      </c>
      <c r="G74" s="32" t="n">
        <f aca="false">Invoer!G26*G71</f>
        <v>0</v>
      </c>
      <c r="H74" s="32" t="n">
        <f aca="false">Invoer!H26*H71</f>
        <v>156</v>
      </c>
      <c r="I74" s="32" t="n">
        <f aca="false">Invoer!I26*I71</f>
        <v>431.6</v>
      </c>
      <c r="J74" s="32" t="n">
        <f aca="false">Invoer!J26*J71</f>
        <v>415</v>
      </c>
      <c r="K74" s="32" t="n">
        <f aca="false">Invoer!K26*K71</f>
        <v>415</v>
      </c>
      <c r="L74" s="32" t="n">
        <f aca="false">Invoer!L26*L71</f>
        <v>415</v>
      </c>
      <c r="M74" s="32" t="n">
        <f aca="false">Invoer!M26*M71</f>
        <v>415</v>
      </c>
    </row>
    <row r="75" customFormat="false" ht="15" hidden="false" customHeight="false" outlineLevel="0" collapsed="false">
      <c r="A75" s="5" t="s">
        <v>239</v>
      </c>
      <c r="B75" s="19" t="s">
        <v>101</v>
      </c>
      <c r="C75" s="35" t="n">
        <f aca="false">C74/C73</f>
        <v>80110.1194056814</v>
      </c>
      <c r="D75" s="35" t="n">
        <f aca="false">D74/D73</f>
        <v>80110.1194056814</v>
      </c>
      <c r="E75" s="35" t="n">
        <f aca="false">E74/E73</f>
        <v>83314.5241819087</v>
      </c>
      <c r="F75" s="35" t="n">
        <f aca="false">F74/F73</f>
        <v>77306.8710741212</v>
      </c>
      <c r="G75" s="35" t="n">
        <f aca="false">G74/G73</f>
        <v>0</v>
      </c>
      <c r="H75" s="35" t="n">
        <f aca="false">H74/H73</f>
        <v>30113.6834392441</v>
      </c>
      <c r="I75" s="35" t="n">
        <f aca="false">I74/I73</f>
        <v>83314.5241819087</v>
      </c>
      <c r="J75" s="35" t="n">
        <f aca="false">J74/J73</f>
        <v>80110.1194056814</v>
      </c>
      <c r="K75" s="35" t="n">
        <f aca="false">K74/K73</f>
        <v>80110.1194056814</v>
      </c>
      <c r="L75" s="35" t="n">
        <f aca="false">L74/L73</f>
        <v>80110.1194056814</v>
      </c>
      <c r="M75" s="35" t="n">
        <f aca="false">M74/M73</f>
        <v>80110.1194056814</v>
      </c>
    </row>
    <row r="76" customFormat="false" ht="15" hidden="false" customHeight="false" outlineLevel="0" collapsed="false">
      <c r="A76" s="7" t="s">
        <v>240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</row>
    <row r="77" customFormat="false" ht="15" hidden="false" customHeight="false" outlineLevel="0" collapsed="false">
      <c r="A77" s="9" t="s">
        <v>241</v>
      </c>
      <c r="B77" s="19" t="s">
        <v>101</v>
      </c>
      <c r="C77" s="29" t="n">
        <f aca="false">INT(C9/1000)*1000</f>
        <v>225000</v>
      </c>
      <c r="D77" s="29" t="n">
        <f aca="false">INT(D9/1000)*1000</f>
        <v>225000</v>
      </c>
      <c r="E77" s="29" t="n">
        <f aca="false">INT(E9/1000)*1000</f>
        <v>225000</v>
      </c>
      <c r="F77" s="29" t="n">
        <f aca="false">INT(F9/1000)*1000</f>
        <v>225000</v>
      </c>
      <c r="G77" s="29" t="n">
        <f aca="false">INT(G9/1000)*1000</f>
        <v>60000</v>
      </c>
      <c r="H77" s="29" t="n">
        <f aca="false">INT(H9/1000)*1000</f>
        <v>150000</v>
      </c>
      <c r="I77" s="29" t="n">
        <f aca="false">INT(I9/1000)*1000</f>
        <v>225000</v>
      </c>
      <c r="J77" s="29" t="n">
        <f aca="false">INT(J9/1000)*1000</f>
        <v>225000</v>
      </c>
      <c r="K77" s="29" t="n">
        <f aca="false">INT(K9/1000)*1000</f>
        <v>225000</v>
      </c>
      <c r="L77" s="29" t="n">
        <f aca="false">INT(L9/1000)*1000</f>
        <v>225000</v>
      </c>
      <c r="M77" s="29" t="n">
        <f aca="false">INT(M9/1000)*1000</f>
        <v>225000</v>
      </c>
    </row>
    <row r="78" customFormat="false" ht="15" hidden="false" customHeight="false" outlineLevel="0" collapsed="false">
      <c r="A78" s="9" t="s">
        <v>242</v>
      </c>
      <c r="B78" s="19"/>
      <c r="C78" s="28" t="n">
        <f aca="false">MIN(10,MAX(1,ROUNDUP(ROUND(C10*100,3)/0.5-0.000000001,0)-2))</f>
        <v>8</v>
      </c>
      <c r="D78" s="28" t="n">
        <f aca="false">MIN(10,MAX(1,ROUNDUP(ROUND(D10*100,3)/0.5-0.000000001,0)-2))</f>
        <v>8</v>
      </c>
      <c r="E78" s="28" t="n">
        <f aca="false">MIN(10,MAX(1,ROUNDUP(ROUND(E10*100,3)/0.5-0.000000001,0)-2))</f>
        <v>8</v>
      </c>
      <c r="F78" s="28" t="n">
        <f aca="false">MIN(10,MAX(1,ROUNDUP(ROUND(F10*100,3)/0.5-0.000000001,0)-2))</f>
        <v>8</v>
      </c>
      <c r="G78" s="28" t="n">
        <f aca="false">MIN(10,MAX(1,ROUNDUP(ROUND(G10*100,3)/0.5-0.000000001,0)-2))</f>
        <v>8</v>
      </c>
      <c r="H78" s="28" t="n">
        <f aca="false">MIN(10,MAX(1,ROUNDUP(ROUND(H10*100,3)/0.5-0.000000001,0)-2))</f>
        <v>8</v>
      </c>
      <c r="I78" s="28" t="n">
        <f aca="false">MIN(10,MAX(1,ROUNDUP(ROUND(I10*100,3)/0.5-0.000000001,0)-2))</f>
        <v>8</v>
      </c>
      <c r="J78" s="28" t="n">
        <f aca="false">MIN(10,MAX(1,ROUNDUP(ROUND(J10*100,3)/0.5-0.000000001,0)-2))</f>
        <v>8</v>
      </c>
      <c r="K78" s="28" t="n">
        <f aca="false">MIN(10,MAX(1,ROUNDUP(ROUND(K10*100,3)/0.5-0.000000001,0)-2))</f>
        <v>8</v>
      </c>
      <c r="L78" s="28" t="n">
        <f aca="false">MIN(10,MAX(1,ROUNDUP(ROUND(L10*100,3)/0.5-0.000000001,0)-2))</f>
        <v>8</v>
      </c>
      <c r="M78" s="28" t="n">
        <f aca="false">MIN(10,MAX(1,ROUNDUP(ROUND(M10*100,3)/0.5-0.000000001,0)-2))</f>
        <v>8</v>
      </c>
    </row>
    <row r="79" customFormat="false" ht="15" hidden="false" customHeight="false" outlineLevel="0" collapsed="false">
      <c r="A79" s="9" t="s">
        <v>243</v>
      </c>
      <c r="B79" s="19" t="s">
        <v>101</v>
      </c>
      <c r="C79" s="29" t="n">
        <f aca="false">MIN(MAX(C77,INDEX(T1_Inkomen,1)),INDEX(T1_Inkomen,12))</f>
        <v>125000</v>
      </c>
      <c r="D79" s="29" t="n">
        <f aca="false">MIN(MAX(D77,INDEX(T1_Inkomen,1)),INDEX(T1_Inkomen,12))</f>
        <v>125000</v>
      </c>
      <c r="E79" s="29" t="n">
        <f aca="false">MIN(MAX(E77,INDEX(T1_Inkomen,1)),INDEX(T1_Inkomen,12))</f>
        <v>125000</v>
      </c>
      <c r="F79" s="29" t="n">
        <f aca="false">MIN(MAX(F77,INDEX(T1_Inkomen,1)),INDEX(T1_Inkomen,12))</f>
        <v>125000</v>
      </c>
      <c r="G79" s="29" t="n">
        <f aca="false">MIN(MAX(G77,INDEX(T1_Inkomen,1)),INDEX(T1_Inkomen,12))</f>
        <v>60000</v>
      </c>
      <c r="H79" s="29" t="n">
        <f aca="false">MIN(MAX(H77,INDEX(T1_Inkomen,1)),INDEX(T1_Inkomen,12))</f>
        <v>125000</v>
      </c>
      <c r="I79" s="29" t="n">
        <f aca="false">MIN(MAX(I77,INDEX(T1_Inkomen,1)),INDEX(T1_Inkomen,12))</f>
        <v>125000</v>
      </c>
      <c r="J79" s="29" t="n">
        <f aca="false">MIN(MAX(J77,INDEX(T1_Inkomen,1)),INDEX(T1_Inkomen,12))</f>
        <v>125000</v>
      </c>
      <c r="K79" s="29" t="n">
        <f aca="false">MIN(MAX(K77,INDEX(T1_Inkomen,1)),INDEX(T1_Inkomen,12))</f>
        <v>125000</v>
      </c>
      <c r="L79" s="29" t="n">
        <f aca="false">MIN(MAX(L77,INDEX(T1_Inkomen,1)),INDEX(T1_Inkomen,12))</f>
        <v>125000</v>
      </c>
      <c r="M79" s="29" t="n">
        <f aca="false">MIN(MAX(M77,INDEX(T1_Inkomen,1)),INDEX(T1_Inkomen,12))</f>
        <v>125000</v>
      </c>
    </row>
    <row r="80" customFormat="false" ht="15" hidden="false" customHeight="false" outlineLevel="0" collapsed="false">
      <c r="A80" s="9" t="s">
        <v>244</v>
      </c>
      <c r="B80" s="19"/>
      <c r="C80" s="28" t="n">
        <f aca="false">MIN(MATCH(C79,T1_Inkomen,1),11)</f>
        <v>11</v>
      </c>
      <c r="D80" s="28" t="n">
        <f aca="false">MIN(MATCH(D79,T1_Inkomen,1),11)</f>
        <v>11</v>
      </c>
      <c r="E80" s="28" t="n">
        <f aca="false">MIN(MATCH(E79,T1_Inkomen,1),11)</f>
        <v>11</v>
      </c>
      <c r="F80" s="28" t="n">
        <f aca="false">MIN(MATCH(F79,T1_Inkomen,1),11)</f>
        <v>11</v>
      </c>
      <c r="G80" s="28" t="n">
        <f aca="false">MIN(MATCH(G79,T1_Inkomen,1),11)</f>
        <v>6</v>
      </c>
      <c r="H80" s="28" t="n">
        <f aca="false">MIN(MATCH(H79,T1_Inkomen,1),11)</f>
        <v>11</v>
      </c>
      <c r="I80" s="28" t="n">
        <f aca="false">MIN(MATCH(I79,T1_Inkomen,1),11)</f>
        <v>11</v>
      </c>
      <c r="J80" s="28" t="n">
        <f aca="false">MIN(MATCH(J79,T1_Inkomen,1),11)</f>
        <v>11</v>
      </c>
      <c r="K80" s="28" t="n">
        <f aca="false">MIN(MATCH(K79,T1_Inkomen,1),11)</f>
        <v>11</v>
      </c>
      <c r="L80" s="28" t="n">
        <f aca="false">MIN(MATCH(L79,T1_Inkomen,1),11)</f>
        <v>11</v>
      </c>
      <c r="M80" s="28" t="n">
        <f aca="false">MIN(MATCH(M79,T1_Inkomen,1),11)</f>
        <v>11</v>
      </c>
    </row>
    <row r="81" customFormat="false" ht="15" hidden="false" customHeight="false" outlineLevel="0" collapsed="false">
      <c r="A81" s="9" t="s">
        <v>245</v>
      </c>
      <c r="B81" s="19" t="s">
        <v>157</v>
      </c>
      <c r="C81" s="38" t="n">
        <f aca="false">INDEX(T1_Tabel,C80,C78)+(C79-INDEX(T1_Inkomen,C80))/(INDEX(T1_Inkomen,C80+1)-INDEX(T1_Inkomen,C80))*(INDEX(T1_Tabel,C80+1,C78)-INDEX(T1_Tabel,C80,C78))</f>
        <v>0.292</v>
      </c>
      <c r="D81" s="38" t="n">
        <f aca="false">INDEX(T1_Tabel,D80,D78)+(D79-INDEX(T1_Inkomen,D80))/(INDEX(T1_Inkomen,D80+1)-INDEX(T1_Inkomen,D80))*(INDEX(T1_Tabel,D80+1,D78)-INDEX(T1_Tabel,D80,D78))</f>
        <v>0.292</v>
      </c>
      <c r="E81" s="38" t="n">
        <f aca="false">INDEX(T1_Tabel,E80,E78)+(E79-INDEX(T1_Inkomen,E80))/(INDEX(T1_Inkomen,E80+1)-INDEX(T1_Inkomen,E80))*(INDEX(T1_Tabel,E80+1,E78)-INDEX(T1_Tabel,E80,E78))</f>
        <v>0.292</v>
      </c>
      <c r="F81" s="38" t="n">
        <f aca="false">INDEX(T1_Tabel,F80,F78)+(F79-INDEX(T1_Inkomen,F80))/(INDEX(T1_Inkomen,F80+1)-INDEX(T1_Inkomen,F80))*(INDEX(T1_Tabel,F80+1,F78)-INDEX(T1_Tabel,F80,F78))</f>
        <v>0.292</v>
      </c>
      <c r="G81" s="38" t="n">
        <f aca="false">INDEX(T1_Tabel,G80,G78)+(G79-INDEX(T1_Inkomen,G80))/(INDEX(T1_Inkomen,G80+1)-INDEX(T1_Inkomen,G80))*(INDEX(T1_Tabel,G80+1,G78)-INDEX(T1_Tabel,G80,G78))</f>
        <v>0.246</v>
      </c>
      <c r="H81" s="38" t="n">
        <f aca="false">INDEX(T1_Tabel,H80,H78)+(H79-INDEX(T1_Inkomen,H80))/(INDEX(T1_Inkomen,H80+1)-INDEX(T1_Inkomen,H80))*(INDEX(T1_Tabel,H80+1,H78)-INDEX(T1_Tabel,H80,H78))</f>
        <v>0.292</v>
      </c>
      <c r="I81" s="38" t="n">
        <f aca="false">INDEX(T1_Tabel,I80,I78)+(I79-INDEX(T1_Inkomen,I80))/(INDEX(T1_Inkomen,I80+1)-INDEX(T1_Inkomen,I80))*(INDEX(T1_Tabel,I80+1,I78)-INDEX(T1_Tabel,I80,I78))</f>
        <v>0.292</v>
      </c>
      <c r="J81" s="38" t="n">
        <f aca="false">INDEX(T1_Tabel,J80,J78)+(J79-INDEX(T1_Inkomen,J80))/(INDEX(T1_Inkomen,J80+1)-INDEX(T1_Inkomen,J80))*(INDEX(T1_Tabel,J80+1,J78)-INDEX(T1_Tabel,J80,J78))</f>
        <v>0.292</v>
      </c>
      <c r="K81" s="38" t="n">
        <f aca="false">INDEX(T1_Tabel,K80,K78)+(K79-INDEX(T1_Inkomen,K80))/(INDEX(T1_Inkomen,K80+1)-INDEX(T1_Inkomen,K80))*(INDEX(T1_Tabel,K80+1,K78)-INDEX(T1_Tabel,K80,K78))</f>
        <v>0.292</v>
      </c>
      <c r="L81" s="38" t="n">
        <f aca="false">INDEX(T1_Tabel,L80,L78)+(L79-INDEX(T1_Inkomen,L80))/(INDEX(T1_Inkomen,L80+1)-INDEX(T1_Inkomen,L80))*(INDEX(T1_Tabel,L80+1,L78)-INDEX(T1_Tabel,L80,L78))</f>
        <v>0.292</v>
      </c>
      <c r="M81" s="38" t="n">
        <f aca="false">INDEX(T1_Tabel,M80,M78)+(M79-INDEX(T1_Inkomen,M80))/(INDEX(T1_Inkomen,M80+1)-INDEX(T1_Inkomen,M80))*(INDEX(T1_Tabel,M80+1,M78)-INDEX(T1_Tabel,M80,M78))</f>
        <v>0.292</v>
      </c>
    </row>
    <row r="82" customFormat="false" ht="15" hidden="false" customHeight="false" outlineLevel="0" collapsed="false">
      <c r="A82" s="9" t="s">
        <v>246</v>
      </c>
      <c r="B82" s="19" t="s">
        <v>178</v>
      </c>
      <c r="C82" s="32" t="n">
        <f aca="false">C81*C9/12</f>
        <v>5475</v>
      </c>
      <c r="D82" s="32" t="n">
        <f aca="false">D81*D9/12</f>
        <v>5475</v>
      </c>
      <c r="E82" s="32" t="n">
        <f aca="false">E81*E9/12</f>
        <v>5475</v>
      </c>
      <c r="F82" s="32" t="n">
        <f aca="false">F81*F9/12</f>
        <v>5475</v>
      </c>
      <c r="G82" s="32" t="n">
        <f aca="false">G81*G9/12</f>
        <v>1230</v>
      </c>
      <c r="H82" s="32" t="n">
        <f aca="false">H81*H9/12</f>
        <v>3650</v>
      </c>
      <c r="I82" s="32" t="n">
        <f aca="false">I81*I9/12</f>
        <v>5475</v>
      </c>
      <c r="J82" s="32" t="n">
        <f aca="false">J81*J9/12</f>
        <v>5475</v>
      </c>
      <c r="K82" s="32" t="n">
        <f aca="false">K81*K9/12</f>
        <v>5475</v>
      </c>
      <c r="L82" s="32" t="n">
        <f aca="false">L81*L9/12</f>
        <v>5475</v>
      </c>
      <c r="M82" s="32" t="n">
        <f aca="false">M81*M9/12</f>
        <v>5475</v>
      </c>
    </row>
    <row r="83" customFormat="false" ht="15" hidden="false" customHeight="false" outlineLevel="0" collapsed="false">
      <c r="A83" s="5" t="s">
        <v>247</v>
      </c>
      <c r="B83" s="19" t="s">
        <v>101</v>
      </c>
      <c r="C83" s="35" t="n">
        <f aca="false">C82*C11</f>
        <v>1056874.46685809</v>
      </c>
      <c r="D83" s="35" t="n">
        <f aca="false">D82*D11</f>
        <v>1056874.46685809</v>
      </c>
      <c r="E83" s="35" t="n">
        <f aca="false">E82*E11</f>
        <v>1056874.46685809</v>
      </c>
      <c r="F83" s="35" t="n">
        <f aca="false">F82*F11</f>
        <v>1019891.85332726</v>
      </c>
      <c r="G83" s="35" t="n">
        <f aca="false">G82*G11</f>
        <v>237434.811732502</v>
      </c>
      <c r="H83" s="35" t="n">
        <f aca="false">H82*H11</f>
        <v>704582.977905391</v>
      </c>
      <c r="I83" s="35" t="n">
        <f aca="false">I82*I11</f>
        <v>1056874.46685809</v>
      </c>
      <c r="J83" s="35" t="n">
        <f aca="false">J82*J11</f>
        <v>1056874.46685809</v>
      </c>
      <c r="K83" s="35" t="n">
        <f aca="false">K82*K11</f>
        <v>1056874.46685809</v>
      </c>
      <c r="L83" s="35" t="n">
        <f aca="false">L82*L11</f>
        <v>1056874.46685809</v>
      </c>
      <c r="M83" s="35" t="n">
        <f aca="false">M82*M11</f>
        <v>1056874.46685809</v>
      </c>
    </row>
    <row r="84" customFormat="false" ht="15" hidden="false" customHeight="false" outlineLevel="0" collapsed="false">
      <c r="A84" s="9" t="s">
        <v>248</v>
      </c>
      <c r="B84" s="19" t="s">
        <v>101</v>
      </c>
      <c r="C84" s="29" t="n">
        <f aca="false">MAX(0,C82-C18)*C11</f>
        <v>1019588.39723244</v>
      </c>
      <c r="D84" s="29" t="n">
        <f aca="false">MAX(0,D82-D18)*D11</f>
        <v>1019588.39723244</v>
      </c>
      <c r="E84" s="29" t="n">
        <f aca="false">MAX(0,E82-E18)*E11</f>
        <v>1019588.39723244</v>
      </c>
      <c r="F84" s="29" t="n">
        <f aca="false">MAX(0,F82-F18)*F11</f>
        <v>983910.514155698</v>
      </c>
      <c r="G84" s="29" t="n">
        <f aca="false">MAX(0,G82-G18)*G11</f>
        <v>237434.811732502</v>
      </c>
      <c r="H84" s="29" t="n">
        <f aca="false">MAX(0,H82-H18)*H11</f>
        <v>704582.977905391</v>
      </c>
      <c r="I84" s="29" t="n">
        <f aca="false">MAX(0,I82-I18)*I11</f>
        <v>1019588.39723244</v>
      </c>
      <c r="J84" s="29" t="n">
        <f aca="false">MAX(0,J82-J18)*J11</f>
        <v>1056874.46685809</v>
      </c>
      <c r="K84" s="29" t="n">
        <f aca="false">MAX(0,K82-K18)*K11</f>
        <v>876295.624949564</v>
      </c>
      <c r="L84" s="29" t="n">
        <f aca="false">MAX(0,L82-L18)*L11</f>
        <v>0</v>
      </c>
      <c r="M84" s="29" t="n">
        <f aca="false">MAX(0,M82-M18)*M11</f>
        <v>1019588.39723244</v>
      </c>
    </row>
    <row r="85" customFormat="false" ht="15" hidden="false" customHeight="false" outlineLevel="0" collapsed="false">
      <c r="A85" s="9" t="s">
        <v>249</v>
      </c>
      <c r="B85" s="19" t="s">
        <v>101</v>
      </c>
      <c r="C85" s="29" t="n">
        <f aca="false">MAX(0,C84-C75)</f>
        <v>939478.277826761</v>
      </c>
      <c r="D85" s="29" t="n">
        <f aca="false">MAX(0,D84-D75)</f>
        <v>939478.277826761</v>
      </c>
      <c r="E85" s="29" t="n">
        <f aca="false">MAX(0,E84-E75)</f>
        <v>936273.873050534</v>
      </c>
      <c r="F85" s="29" t="n">
        <f aca="false">MAX(0,F84-F75)</f>
        <v>906603.643081576</v>
      </c>
      <c r="G85" s="29" t="n">
        <f aca="false">MAX(0,G84-G75)</f>
        <v>237434.811732502</v>
      </c>
      <c r="H85" s="29" t="n">
        <f aca="false">MAX(0,H84-H75)</f>
        <v>674469.294466147</v>
      </c>
      <c r="I85" s="29" t="n">
        <f aca="false">MAX(0,I84-I75)</f>
        <v>936273.873050534</v>
      </c>
      <c r="J85" s="29" t="n">
        <f aca="false">MAX(0,J84-J75)</f>
        <v>976764.347452405</v>
      </c>
      <c r="K85" s="29" t="n">
        <f aca="false">MAX(0,K84-K75)</f>
        <v>796185.505543883</v>
      </c>
      <c r="L85" s="29" t="n">
        <f aca="false">MAX(0,L84-L75)</f>
        <v>0</v>
      </c>
      <c r="M85" s="29" t="n">
        <f aca="false">MAX(0,M84-M75)</f>
        <v>939478.277826761</v>
      </c>
    </row>
    <row r="86" customFormat="false" ht="15" hidden="false" customHeight="false" outlineLevel="0" collapsed="false">
      <c r="A86" s="9" t="s">
        <v>250</v>
      </c>
      <c r="B86" s="19" t="s">
        <v>101</v>
      </c>
      <c r="C86" s="29" t="n">
        <f aca="false">IF(C7=0,IF(C9&gt;=Alleenstaand_min,Alleenstaand_bedrag,0),0)</f>
        <v>0</v>
      </c>
      <c r="D86" s="29" t="n">
        <f aca="false">IF(D7=0,IF(D9&gt;=Alleenstaand_min,Alleenstaand_bedrag,0),0)</f>
        <v>0</v>
      </c>
      <c r="E86" s="29" t="n">
        <f aca="false">IF(E7=0,IF(E9&gt;=Alleenstaand_min,Alleenstaand_bedrag,0),0)</f>
        <v>0</v>
      </c>
      <c r="F86" s="29" t="n">
        <f aca="false">IF(F7=0,IF(F9&gt;=Alleenstaand_min,Alleenstaand_bedrag,0),0)</f>
        <v>0</v>
      </c>
      <c r="G86" s="29" t="n">
        <f aca="false">IF(G7=0,IF(G9&gt;=Alleenstaand_min,Alleenstaand_bedrag,0),0)</f>
        <v>17000</v>
      </c>
      <c r="H86" s="29" t="n">
        <f aca="false">IF(H7=0,IF(H9&gt;=Alleenstaand_min,Alleenstaand_bedrag,0),0)</f>
        <v>0</v>
      </c>
      <c r="I86" s="29" t="n">
        <f aca="false">IF(I7=0,IF(I9&gt;=Alleenstaand_min,Alleenstaand_bedrag,0),0)</f>
        <v>0</v>
      </c>
      <c r="J86" s="29" t="n">
        <f aca="false">IF(J7=0,IF(J9&gt;=Alleenstaand_min,Alleenstaand_bedrag,0),0)</f>
        <v>0</v>
      </c>
      <c r="K86" s="29" t="n">
        <f aca="false">IF(K7=0,IF(K9&gt;=Alleenstaand_min,Alleenstaand_bedrag,0),0)</f>
        <v>0</v>
      </c>
      <c r="L86" s="29" t="n">
        <f aca="false">IF(L7=0,IF(L9&gt;=Alleenstaand_min,Alleenstaand_bedrag,0),0)</f>
        <v>0</v>
      </c>
      <c r="M86" s="29" t="n">
        <f aca="false">IF(M7=0,IF(M9&gt;=Alleenstaand_min,Alleenstaand_bedrag,0),0)</f>
        <v>0</v>
      </c>
    </row>
    <row r="87" customFormat="false" ht="15" hidden="false" customHeight="false" outlineLevel="0" collapsed="false">
      <c r="A87" s="9" t="s">
        <v>251</v>
      </c>
      <c r="B87" s="19" t="s">
        <v>101</v>
      </c>
      <c r="C87" s="29" t="n">
        <f aca="false">INDEX(Energie_bonus,MATCH(Invoer!C16,Energie_label,0))</f>
        <v>10000</v>
      </c>
      <c r="D87" s="29" t="n">
        <f aca="false">INDEX(Energie_bonus,MATCH(Invoer!D16,Energie_label,0))</f>
        <v>10000</v>
      </c>
      <c r="E87" s="29" t="n">
        <f aca="false">INDEX(Energie_bonus,MATCH(Invoer!E16,Energie_label,0))</f>
        <v>10000</v>
      </c>
      <c r="F87" s="29" t="n">
        <f aca="false">INDEX(Energie_bonus,MATCH(Invoer!F16,Energie_label,0))</f>
        <v>10000</v>
      </c>
      <c r="G87" s="29" t="n">
        <f aca="false">INDEX(Energie_bonus,MATCH(Invoer!G16,Energie_label,0))</f>
        <v>5000</v>
      </c>
      <c r="H87" s="29" t="n">
        <f aca="false">INDEX(Energie_bonus,MATCH(Invoer!H16,Energie_label,0))</f>
        <v>10000</v>
      </c>
      <c r="I87" s="29" t="n">
        <f aca="false">INDEX(Energie_bonus,MATCH(Invoer!I16,Energie_label,0))</f>
        <v>10000</v>
      </c>
      <c r="J87" s="29" t="n">
        <f aca="false">INDEX(Energie_bonus,MATCH(Invoer!J16,Energie_label,0))</f>
        <v>10000</v>
      </c>
      <c r="K87" s="29" t="n">
        <f aca="false">INDEX(Energie_bonus,MATCH(Invoer!K16,Energie_label,0))</f>
        <v>0</v>
      </c>
      <c r="L87" s="29" t="n">
        <f aca="false">INDEX(Energie_bonus,MATCH(Invoer!L16,Energie_label,0))</f>
        <v>10000</v>
      </c>
      <c r="M87" s="29" t="n">
        <f aca="false">INDEX(Energie_bonus,MATCH(Invoer!M16,Energie_label,0))</f>
        <v>10000</v>
      </c>
    </row>
    <row r="88" customFormat="false" ht="15" hidden="false" customHeight="false" outlineLevel="0" collapsed="false">
      <c r="A88" s="7" t="s">
        <v>252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</row>
    <row r="89" customFormat="false" ht="15" hidden="false" customHeight="false" outlineLevel="0" collapsed="false">
      <c r="A89" s="9" t="s">
        <v>253</v>
      </c>
      <c r="B89" s="19"/>
      <c r="C89" s="28" t="n">
        <f aca="false">IF(Invoer!C12&gt;=AOW_drempel,1,0)</f>
        <v>0</v>
      </c>
      <c r="D89" s="28" t="n">
        <f aca="false">IF(Invoer!D12&gt;=AOW_drempel,1,0)</f>
        <v>0</v>
      </c>
      <c r="E89" s="28" t="n">
        <f aca="false">IF(Invoer!E12&gt;=AOW_drempel,1,0)</f>
        <v>0</v>
      </c>
      <c r="F89" s="28" t="n">
        <f aca="false">IF(Invoer!F12&gt;=AOW_drempel,1,0)</f>
        <v>0</v>
      </c>
      <c r="G89" s="28" t="n">
        <f aca="false">IF(Invoer!G12&gt;=AOW_drempel,1,0)</f>
        <v>0</v>
      </c>
      <c r="H89" s="28" t="n">
        <f aca="false">IF(Invoer!H12&gt;=AOW_drempel,1,0)</f>
        <v>0</v>
      </c>
      <c r="I89" s="28" t="n">
        <f aca="false">IF(Invoer!I12&gt;=AOW_drempel,1,0)</f>
        <v>0</v>
      </c>
      <c r="J89" s="28" t="n">
        <f aca="false">IF(Invoer!J12&gt;=AOW_drempel,1,0)</f>
        <v>1</v>
      </c>
      <c r="K89" s="28" t="n">
        <f aca="false">IF(Invoer!K12&gt;=AOW_drempel,1,0)</f>
        <v>0</v>
      </c>
      <c r="L89" s="28" t="n">
        <f aca="false">IF(Invoer!L12&gt;=AOW_drempel,1,0)</f>
        <v>0</v>
      </c>
      <c r="M89" s="28" t="n">
        <f aca="false">IF(Invoer!M12&gt;=AOW_drempel,1,0)</f>
        <v>0</v>
      </c>
    </row>
    <row r="90" customFormat="false" ht="15" hidden="false" customHeight="false" outlineLevel="0" collapsed="false">
      <c r="A90" s="9" t="s">
        <v>254</v>
      </c>
      <c r="B90" s="19"/>
      <c r="C90" s="28" t="n">
        <f aca="false">C7*IF(Invoer!C13&gt;=AOW_drempel,1,0)</f>
        <v>0</v>
      </c>
      <c r="D90" s="28" t="n">
        <f aca="false">D7*IF(Invoer!D13&gt;=AOW_drempel,1,0)</f>
        <v>0</v>
      </c>
      <c r="E90" s="28" t="n">
        <f aca="false">E7*IF(Invoer!E13&gt;=AOW_drempel,1,0)</f>
        <v>0</v>
      </c>
      <c r="F90" s="28" t="n">
        <f aca="false">F7*IF(Invoer!F13&gt;=AOW_drempel,1,0)</f>
        <v>0</v>
      </c>
      <c r="G90" s="28" t="n">
        <f aca="false">G7*IF(Invoer!G13&gt;=AOW_drempel,1,0)</f>
        <v>0</v>
      </c>
      <c r="H90" s="28" t="n">
        <f aca="false">H7*IF(Invoer!H13&gt;=AOW_drempel,1,0)</f>
        <v>0</v>
      </c>
      <c r="I90" s="28" t="n">
        <f aca="false">I7*IF(Invoer!I13&gt;=AOW_drempel,1,0)</f>
        <v>0</v>
      </c>
      <c r="J90" s="28" t="n">
        <f aca="false">J7*IF(Invoer!J13&gt;=AOW_drempel,1,0)</f>
        <v>0</v>
      </c>
      <c r="K90" s="28" t="n">
        <f aca="false">K7*IF(Invoer!K13&gt;=AOW_drempel,1,0)</f>
        <v>0</v>
      </c>
      <c r="L90" s="28" t="n">
        <f aca="false">L7*IF(Invoer!L13&gt;=AOW_drempel,1,0)</f>
        <v>0</v>
      </c>
      <c r="M90" s="28" t="n">
        <f aca="false">M7*IF(Invoer!M13&gt;=AOW_drempel,1,0)</f>
        <v>0</v>
      </c>
    </row>
    <row r="91" customFormat="false" ht="15" hidden="false" customHeight="false" outlineLevel="0" collapsed="false">
      <c r="A91" s="9" t="s">
        <v>255</v>
      </c>
      <c r="B91" s="19"/>
      <c r="C91" s="28" t="n">
        <f aca="false">IF(OR(AND(C89=1,Invoer!C14&lt;=0),AND(C90=1,Invoer!C15&lt;=0)),1,0)</f>
        <v>0</v>
      </c>
      <c r="D91" s="28" t="n">
        <f aca="false">IF(OR(AND(D89=1,Invoer!D14&lt;=0),AND(D90=1,Invoer!D15&lt;=0)),1,0)</f>
        <v>0</v>
      </c>
      <c r="E91" s="28" t="n">
        <f aca="false">IF(OR(AND(E89=1,Invoer!E14&lt;=0),AND(E90=1,Invoer!E15&lt;=0)),1,0)</f>
        <v>0</v>
      </c>
      <c r="F91" s="28" t="n">
        <f aca="false">IF(OR(AND(F89=1,Invoer!F14&lt;=0),AND(F90=1,Invoer!F15&lt;=0)),1,0)</f>
        <v>0</v>
      </c>
      <c r="G91" s="28" t="n">
        <f aca="false">IF(OR(AND(G89=1,Invoer!G14&lt;=0),AND(G90=1,Invoer!G15&lt;=0)),1,0)</f>
        <v>0</v>
      </c>
      <c r="H91" s="28" t="n">
        <f aca="false">IF(OR(AND(H89=1,Invoer!H14&lt;=0),AND(H90=1,Invoer!H15&lt;=0)),1,0)</f>
        <v>0</v>
      </c>
      <c r="I91" s="28" t="n">
        <f aca="false">IF(OR(AND(I89=1,Invoer!I14&lt;=0),AND(I90=1,Invoer!I15&lt;=0)),1,0)</f>
        <v>0</v>
      </c>
      <c r="J91" s="28" t="n">
        <f aca="false">IF(OR(AND(J89=1,Invoer!J14&lt;=0),AND(J90=1,Invoer!J15&lt;=0)),1,0)</f>
        <v>0</v>
      </c>
      <c r="K91" s="28" t="n">
        <f aca="false">IF(OR(AND(K89=1,Invoer!K14&lt;=0),AND(K90=1,Invoer!K15&lt;=0)),1,0)</f>
        <v>0</v>
      </c>
      <c r="L91" s="28" t="n">
        <f aca="false">IF(OR(AND(L89=1,Invoer!L14&lt;=0),AND(L90=1,Invoer!L15&lt;=0)),1,0)</f>
        <v>0</v>
      </c>
      <c r="M91" s="28" t="n">
        <f aca="false">IF(OR(AND(M89=1,Invoer!M14&lt;=0),AND(M90=1,Invoer!M15&lt;=0)),1,0)</f>
        <v>0</v>
      </c>
    </row>
    <row r="92" customFormat="false" ht="15" hidden="false" customHeight="false" outlineLevel="0" collapsed="false">
      <c r="A92" s="9" t="s">
        <v>256</v>
      </c>
      <c r="B92" s="19"/>
      <c r="C92" s="28" t="n">
        <f aca="false">IF(C89+C90&gt;0,1,0)*(1-C91)</f>
        <v>0</v>
      </c>
      <c r="D92" s="28" t="n">
        <f aca="false">IF(D89+D90&gt;0,1,0)*(1-D91)</f>
        <v>0</v>
      </c>
      <c r="E92" s="28" t="n">
        <f aca="false">IF(E89+E90&gt;0,1,0)*(1-E91)</f>
        <v>0</v>
      </c>
      <c r="F92" s="28" t="n">
        <f aca="false">IF(F89+F90&gt;0,1,0)*(1-F91)</f>
        <v>0</v>
      </c>
      <c r="G92" s="28" t="n">
        <f aca="false">IF(G89+G90&gt;0,1,0)*(1-G91)</f>
        <v>0</v>
      </c>
      <c r="H92" s="28" t="n">
        <f aca="false">IF(H89+H90&gt;0,1,0)*(1-H91)</f>
        <v>0</v>
      </c>
      <c r="I92" s="28" t="n">
        <f aca="false">IF(I89+I90&gt;0,1,0)*(1-I91)</f>
        <v>0</v>
      </c>
      <c r="J92" s="28" t="n">
        <f aca="false">IF(J89+J90&gt;0,1,0)*(1-J91)</f>
        <v>1</v>
      </c>
      <c r="K92" s="28" t="n">
        <f aca="false">IF(K89+K90&gt;0,1,0)*(1-K91)</f>
        <v>0</v>
      </c>
      <c r="L92" s="28" t="n">
        <f aca="false">IF(L89+L90&gt;0,1,0)*(1-L91)</f>
        <v>0</v>
      </c>
      <c r="M92" s="28" t="n">
        <f aca="false">IF(M89+M90&gt;0,1,0)*(1-M91)</f>
        <v>0</v>
      </c>
    </row>
    <row r="93" customFormat="false" ht="15" hidden="false" customHeight="false" outlineLevel="0" collapsed="false">
      <c r="A93" s="9" t="s">
        <v>257</v>
      </c>
      <c r="B93" s="19" t="s">
        <v>101</v>
      </c>
      <c r="C93" s="29" t="n">
        <f aca="false">IF(C89=1,Invoer!C14,Invoer!C10)+C7*IF(C90=1,Invoer!C15,Invoer!C11)</f>
        <v>225000</v>
      </c>
      <c r="D93" s="29" t="n">
        <f aca="false">IF(D89=1,Invoer!D14,Invoer!D10)+D7*IF(D90=1,Invoer!D15,Invoer!D11)</f>
        <v>225000</v>
      </c>
      <c r="E93" s="29" t="n">
        <f aca="false">IF(E89=1,Invoer!E14,Invoer!E10)+E7*IF(E90=1,Invoer!E15,Invoer!E11)</f>
        <v>225000</v>
      </c>
      <c r="F93" s="29" t="n">
        <f aca="false">IF(F89=1,Invoer!F14,Invoer!F10)+F7*IF(F90=1,Invoer!F15,Invoer!F11)</f>
        <v>225000</v>
      </c>
      <c r="G93" s="29" t="n">
        <f aca="false">IF(G89=1,Invoer!G14,Invoer!G10)+G7*IF(G90=1,Invoer!G15,Invoer!G11)</f>
        <v>60000</v>
      </c>
      <c r="H93" s="29" t="n">
        <f aca="false">IF(H89=1,Invoer!H14,Invoer!H10)+H7*IF(H90=1,Invoer!H15,Invoer!H11)</f>
        <v>150000</v>
      </c>
      <c r="I93" s="29" t="n">
        <f aca="false">IF(I89=1,Invoer!I14,Invoer!I10)+I7*IF(I90=1,Invoer!I15,Invoer!I11)</f>
        <v>225000</v>
      </c>
      <c r="J93" s="29" t="n">
        <f aca="false">IF(J89=1,Invoer!J14,Invoer!J10)+J7*IF(J90=1,Invoer!J15,Invoer!J11)</f>
        <v>147000</v>
      </c>
      <c r="K93" s="29" t="n">
        <f aca="false">IF(K89=1,Invoer!K14,Invoer!K10)+K7*IF(K90=1,Invoer!K15,Invoer!K11)</f>
        <v>225000</v>
      </c>
      <c r="L93" s="29" t="n">
        <f aca="false">IF(L89=1,Invoer!L14,Invoer!L10)+L7*IF(L90=1,Invoer!L15,Invoer!L11)</f>
        <v>225000</v>
      </c>
      <c r="M93" s="29" t="n">
        <f aca="false">IF(M89=1,Invoer!M14,Invoer!M10)+M7*IF(M90=1,Invoer!M15,Invoer!M11)</f>
        <v>225000</v>
      </c>
    </row>
    <row r="94" customFormat="false" ht="15" hidden="false" customHeight="false" outlineLevel="0" collapsed="false">
      <c r="A94" s="9" t="s">
        <v>258</v>
      </c>
      <c r="B94" s="19" t="s">
        <v>101</v>
      </c>
      <c r="C94" s="29" t="n">
        <f aca="false">MIN(MAX(INT(C93/1000)*1000,INDEX(T2_Inkomen,1)),INDEX(T2_Inkomen,12))</f>
        <v>110000</v>
      </c>
      <c r="D94" s="29" t="n">
        <f aca="false">MIN(MAX(INT(D93/1000)*1000,INDEX(T2_Inkomen,1)),INDEX(T2_Inkomen,12))</f>
        <v>110000</v>
      </c>
      <c r="E94" s="29" t="n">
        <f aca="false">MIN(MAX(INT(E93/1000)*1000,INDEX(T2_Inkomen,1)),INDEX(T2_Inkomen,12))</f>
        <v>110000</v>
      </c>
      <c r="F94" s="29" t="n">
        <f aca="false">MIN(MAX(INT(F93/1000)*1000,INDEX(T2_Inkomen,1)),INDEX(T2_Inkomen,12))</f>
        <v>110000</v>
      </c>
      <c r="G94" s="29" t="n">
        <f aca="false">MIN(MAX(INT(G93/1000)*1000,INDEX(T2_Inkomen,1)),INDEX(T2_Inkomen,12))</f>
        <v>60000</v>
      </c>
      <c r="H94" s="29" t="n">
        <f aca="false">MIN(MAX(INT(H93/1000)*1000,INDEX(T2_Inkomen,1)),INDEX(T2_Inkomen,12))</f>
        <v>110000</v>
      </c>
      <c r="I94" s="29" t="n">
        <f aca="false">MIN(MAX(INT(I93/1000)*1000,INDEX(T2_Inkomen,1)),INDEX(T2_Inkomen,12))</f>
        <v>110000</v>
      </c>
      <c r="J94" s="29" t="n">
        <f aca="false">MIN(MAX(INT(J93/1000)*1000,INDEX(T2_Inkomen,1)),INDEX(T2_Inkomen,12))</f>
        <v>110000</v>
      </c>
      <c r="K94" s="29" t="n">
        <f aca="false">MIN(MAX(INT(K93/1000)*1000,INDEX(T2_Inkomen,1)),INDEX(T2_Inkomen,12))</f>
        <v>110000</v>
      </c>
      <c r="L94" s="29" t="n">
        <f aca="false">MIN(MAX(INT(L93/1000)*1000,INDEX(T2_Inkomen,1)),INDEX(T2_Inkomen,12))</f>
        <v>110000</v>
      </c>
      <c r="M94" s="29" t="n">
        <f aca="false">MIN(MAX(INT(M93/1000)*1000,INDEX(T2_Inkomen,1)),INDEX(T2_Inkomen,12))</f>
        <v>110000</v>
      </c>
    </row>
    <row r="95" customFormat="false" ht="15" hidden="false" customHeight="false" outlineLevel="0" collapsed="false">
      <c r="A95" s="9" t="s">
        <v>244</v>
      </c>
      <c r="B95" s="19"/>
      <c r="C95" s="28" t="n">
        <f aca="false">MIN(MATCH(C94,T2_Inkomen,1),11)</f>
        <v>11</v>
      </c>
      <c r="D95" s="28" t="n">
        <f aca="false">MIN(MATCH(D94,T2_Inkomen,1),11)</f>
        <v>11</v>
      </c>
      <c r="E95" s="28" t="n">
        <f aca="false">MIN(MATCH(E94,T2_Inkomen,1),11)</f>
        <v>11</v>
      </c>
      <c r="F95" s="28" t="n">
        <f aca="false">MIN(MATCH(F94,T2_Inkomen,1),11)</f>
        <v>11</v>
      </c>
      <c r="G95" s="28" t="n">
        <f aca="false">MIN(MATCH(G94,T2_Inkomen,1),11)</f>
        <v>7</v>
      </c>
      <c r="H95" s="28" t="n">
        <f aca="false">MIN(MATCH(H94,T2_Inkomen,1),11)</f>
        <v>11</v>
      </c>
      <c r="I95" s="28" t="n">
        <f aca="false">MIN(MATCH(I94,T2_Inkomen,1),11)</f>
        <v>11</v>
      </c>
      <c r="J95" s="28" t="n">
        <f aca="false">MIN(MATCH(J94,T2_Inkomen,1),11)</f>
        <v>11</v>
      </c>
      <c r="K95" s="28" t="n">
        <f aca="false">MIN(MATCH(K94,T2_Inkomen,1),11)</f>
        <v>11</v>
      </c>
      <c r="L95" s="28" t="n">
        <f aca="false">MIN(MATCH(L94,T2_Inkomen,1),11)</f>
        <v>11</v>
      </c>
      <c r="M95" s="28" t="n">
        <f aca="false">MIN(MATCH(M94,T2_Inkomen,1),11)</f>
        <v>11</v>
      </c>
    </row>
    <row r="96" customFormat="false" ht="15" hidden="false" customHeight="false" outlineLevel="0" collapsed="false">
      <c r="A96" s="9" t="s">
        <v>259</v>
      </c>
      <c r="B96" s="19" t="s">
        <v>157</v>
      </c>
      <c r="C96" s="38" t="n">
        <f aca="false">INDEX(T2_Tabel,C95,C78)+(C94-INDEX(T2_Inkomen,C95))/(INDEX(T2_Inkomen,C95+1)-INDEX(T2_Inkomen,C95))*(INDEX(T2_Tabel,C95+1,C78)-INDEX(T2_Tabel,C95,C78))</f>
        <v>0.375</v>
      </c>
      <c r="D96" s="38" t="n">
        <f aca="false">INDEX(T2_Tabel,D95,D78)+(D94-INDEX(T2_Inkomen,D95))/(INDEX(T2_Inkomen,D95+1)-INDEX(T2_Inkomen,D95))*(INDEX(T2_Tabel,D95+1,D78)-INDEX(T2_Tabel,D95,D78))</f>
        <v>0.375</v>
      </c>
      <c r="E96" s="38" t="n">
        <f aca="false">INDEX(T2_Tabel,E95,E78)+(E94-INDEX(T2_Inkomen,E95))/(INDEX(T2_Inkomen,E95+1)-INDEX(T2_Inkomen,E95))*(INDEX(T2_Tabel,E95+1,E78)-INDEX(T2_Tabel,E95,E78))</f>
        <v>0.375</v>
      </c>
      <c r="F96" s="38" t="n">
        <f aca="false">INDEX(T2_Tabel,F95,F78)+(F94-INDEX(T2_Inkomen,F95))/(INDEX(T2_Inkomen,F95+1)-INDEX(T2_Inkomen,F95))*(INDEX(T2_Tabel,F95+1,F78)-INDEX(T2_Tabel,F95,F78))</f>
        <v>0.375</v>
      </c>
      <c r="G96" s="38" t="n">
        <f aca="false">INDEX(T2_Tabel,G95,G78)+(G94-INDEX(T2_Inkomen,G95))/(INDEX(T2_Inkomen,G95+1)-INDEX(T2_Inkomen,G95))*(INDEX(T2_Tabel,G95+1,G78)-INDEX(T2_Tabel,G95,G78))</f>
        <v>0.341</v>
      </c>
      <c r="H96" s="38" t="n">
        <f aca="false">INDEX(T2_Tabel,H95,H78)+(H94-INDEX(T2_Inkomen,H95))/(INDEX(T2_Inkomen,H95+1)-INDEX(T2_Inkomen,H95))*(INDEX(T2_Tabel,H95+1,H78)-INDEX(T2_Tabel,H95,H78))</f>
        <v>0.375</v>
      </c>
      <c r="I96" s="38" t="n">
        <f aca="false">INDEX(T2_Tabel,I95,I78)+(I94-INDEX(T2_Inkomen,I95))/(INDEX(T2_Inkomen,I95+1)-INDEX(T2_Inkomen,I95))*(INDEX(T2_Tabel,I95+1,I78)-INDEX(T2_Tabel,I95,I78))</f>
        <v>0.375</v>
      </c>
      <c r="J96" s="38" t="n">
        <f aca="false">INDEX(T2_Tabel,J95,J78)+(J94-INDEX(T2_Inkomen,J95))/(INDEX(T2_Inkomen,J95+1)-INDEX(T2_Inkomen,J95))*(INDEX(T2_Tabel,J95+1,J78)-INDEX(T2_Tabel,J95,J78))</f>
        <v>0.375</v>
      </c>
      <c r="K96" s="38" t="n">
        <f aca="false">INDEX(T2_Tabel,K95,K78)+(K94-INDEX(T2_Inkomen,K95))/(INDEX(T2_Inkomen,K95+1)-INDEX(T2_Inkomen,K95))*(INDEX(T2_Tabel,K95+1,K78)-INDEX(T2_Tabel,K95,K78))</f>
        <v>0.375</v>
      </c>
      <c r="L96" s="38" t="n">
        <f aca="false">INDEX(T2_Tabel,L95,L78)+(L94-INDEX(T2_Inkomen,L95))/(INDEX(T2_Inkomen,L95+1)-INDEX(T2_Inkomen,L95))*(INDEX(T2_Tabel,L95+1,L78)-INDEX(T2_Tabel,L95,L78))</f>
        <v>0.375</v>
      </c>
      <c r="M96" s="38" t="n">
        <f aca="false">INDEX(T2_Tabel,M95,M78)+(M94-INDEX(T2_Inkomen,M95))/(INDEX(T2_Inkomen,M95+1)-INDEX(T2_Inkomen,M95))*(INDEX(T2_Tabel,M95+1,M78)-INDEX(T2_Tabel,M95,M78))</f>
        <v>0.375</v>
      </c>
    </row>
    <row r="97" customFormat="false" ht="15" hidden="false" customHeight="false" outlineLevel="0" collapsed="false">
      <c r="A97" s="9" t="s">
        <v>260</v>
      </c>
      <c r="B97" s="19" t="s">
        <v>101</v>
      </c>
      <c r="C97" s="29" t="n">
        <f aca="false">MAX(0,MAX(0,C96*C93/12-C18)*C11-C75)</f>
        <v>1239891.22559807</v>
      </c>
      <c r="D97" s="29" t="n">
        <f aca="false">MAX(0,MAX(0,D96*D93/12-D18)*D11-D75)</f>
        <v>1239891.22559807</v>
      </c>
      <c r="E97" s="29" t="n">
        <f aca="false">MAX(0,MAX(0,E96*E93/12-E18)*E11-E75)</f>
        <v>1236686.82082184</v>
      </c>
      <c r="F97" s="29" t="n">
        <f aca="false">MAX(0,MAX(0,F96*F93/12-F18)*F11-F75)</f>
        <v>1196504.40960953</v>
      </c>
      <c r="G97" s="29" t="n">
        <f aca="false">MAX(0,MAX(0,G96*G93/12-G18)*G11-G75)</f>
        <v>329127.117076354</v>
      </c>
      <c r="H97" s="29" t="n">
        <f aca="false">MAX(0,MAX(0,H96*H93/12-H18)*H11-H75)</f>
        <v>874744.59298035</v>
      </c>
      <c r="I97" s="29" t="n">
        <f aca="false">MAX(0,MAX(0,I96*I93/12-I18)*I11-I75)</f>
        <v>1236686.82082184</v>
      </c>
      <c r="J97" s="29" t="n">
        <f aca="false">MAX(0,MAX(0,J96*J93/12-J18)*J11-J75)</f>
        <v>806650.991485521</v>
      </c>
      <c r="K97" s="29" t="n">
        <f aca="false">MAX(0,MAX(0,K96*K93/12-K18)*K11-K75)</f>
        <v>1096598.45331519</v>
      </c>
      <c r="L97" s="29" t="n">
        <f aca="false">MAX(0,MAX(0,L96*L93/12-L18)*L11-L75)</f>
        <v>0</v>
      </c>
      <c r="M97" s="29" t="n">
        <f aca="false">MAX(0,MAX(0,M96*M93/12-M18)*M11-M75)</f>
        <v>1239891.22559807</v>
      </c>
    </row>
    <row r="98" customFormat="false" ht="15" hidden="false" customHeight="false" outlineLevel="0" collapsed="false">
      <c r="A98" s="9" t="s">
        <v>261</v>
      </c>
      <c r="B98" s="19" t="s">
        <v>101</v>
      </c>
      <c r="C98" s="29" t="n">
        <f aca="false">IF(C7=0,IF(C93&gt;=Alleenstaand_min_AOW,Alleenstaand_bedrag,0),0)</f>
        <v>0</v>
      </c>
      <c r="D98" s="29" t="n">
        <f aca="false">IF(D7=0,IF(D93&gt;=Alleenstaand_min_AOW,Alleenstaand_bedrag,0),0)</f>
        <v>0</v>
      </c>
      <c r="E98" s="29" t="n">
        <f aca="false">IF(E7=0,IF(E93&gt;=Alleenstaand_min_AOW,Alleenstaand_bedrag,0),0)</f>
        <v>0</v>
      </c>
      <c r="F98" s="29" t="n">
        <f aca="false">IF(F7=0,IF(F93&gt;=Alleenstaand_min_AOW,Alleenstaand_bedrag,0),0)</f>
        <v>0</v>
      </c>
      <c r="G98" s="29" t="n">
        <f aca="false">IF(G7=0,IF(G93&gt;=Alleenstaand_min_AOW,Alleenstaand_bedrag,0),0)</f>
        <v>17000</v>
      </c>
      <c r="H98" s="29" t="n">
        <f aca="false">IF(H7=0,IF(H93&gt;=Alleenstaand_min_AOW,Alleenstaand_bedrag,0),0)</f>
        <v>0</v>
      </c>
      <c r="I98" s="29" t="n">
        <f aca="false">IF(I7=0,IF(I93&gt;=Alleenstaand_min_AOW,Alleenstaand_bedrag,0),0)</f>
        <v>0</v>
      </c>
      <c r="J98" s="29" t="n">
        <f aca="false">IF(J7=0,IF(J93&gt;=Alleenstaand_min_AOW,Alleenstaand_bedrag,0),0)</f>
        <v>0</v>
      </c>
      <c r="K98" s="29" t="n">
        <f aca="false">IF(K7=0,IF(K93&gt;=Alleenstaand_min_AOW,Alleenstaand_bedrag,0),0)</f>
        <v>0</v>
      </c>
      <c r="L98" s="29" t="n">
        <f aca="false">IF(L7=0,IF(L93&gt;=Alleenstaand_min_AOW,Alleenstaand_bedrag,0),0)</f>
        <v>0</v>
      </c>
      <c r="M98" s="29" t="n">
        <f aca="false">IF(M7=0,IF(M93&gt;=Alleenstaand_min_AOW,Alleenstaand_bedrag,0),0)</f>
        <v>0</v>
      </c>
    </row>
    <row r="99" customFormat="false" ht="15" hidden="false" customHeight="false" outlineLevel="0" collapsed="false">
      <c r="A99" s="9" t="s">
        <v>262</v>
      </c>
      <c r="B99" s="19"/>
      <c r="C99" s="28" t="n">
        <f aca="false">IF(AND(C92=1,C97+C98&lt;C85+C86),1,0)</f>
        <v>0</v>
      </c>
      <c r="D99" s="28" t="n">
        <f aca="false">IF(AND(D92=1,D97+D98&lt;D85+D86),1,0)</f>
        <v>0</v>
      </c>
      <c r="E99" s="28" t="n">
        <f aca="false">IF(AND(E92=1,E97+E98&lt;E85+E86),1,0)</f>
        <v>0</v>
      </c>
      <c r="F99" s="28" t="n">
        <f aca="false">IF(AND(F92=1,F97+F98&lt;F85+F86),1,0)</f>
        <v>0</v>
      </c>
      <c r="G99" s="28" t="n">
        <f aca="false">IF(AND(G92=1,G97+G98&lt;G85+G86),1,0)</f>
        <v>0</v>
      </c>
      <c r="H99" s="28" t="n">
        <f aca="false">IF(AND(H92=1,H97+H98&lt;H85+H86),1,0)</f>
        <v>0</v>
      </c>
      <c r="I99" s="28" t="n">
        <f aca="false">IF(AND(I92=1,I97+I98&lt;I85+I86),1,0)</f>
        <v>0</v>
      </c>
      <c r="J99" s="28" t="n">
        <f aca="false">IF(AND(J92=1,J97+J98&lt;J85+J86),1,0)</f>
        <v>1</v>
      </c>
      <c r="K99" s="28" t="n">
        <f aca="false">IF(AND(K92=1,K97+K98&lt;K85+K86),1,0)</f>
        <v>0</v>
      </c>
      <c r="L99" s="28" t="n">
        <f aca="false">IF(AND(L92=1,L97+L98&lt;L85+L86),1,0)</f>
        <v>0</v>
      </c>
      <c r="M99" s="28" t="n">
        <f aca="false">IF(AND(M92=1,M97+M98&lt;M85+M86),1,0)</f>
        <v>0</v>
      </c>
    </row>
    <row r="100" customFormat="false" ht="15" hidden="false" customHeight="false" outlineLevel="0" collapsed="false">
      <c r="A100" s="9" t="s">
        <v>263</v>
      </c>
      <c r="B100" s="19" t="s">
        <v>101</v>
      </c>
      <c r="C100" s="29" t="n">
        <f aca="false">IF(C99=1,C97+C98-C86,C85)</f>
        <v>939478.277826761</v>
      </c>
      <c r="D100" s="29" t="n">
        <f aca="false">IF(D99=1,D97+D98-D86,D85)</f>
        <v>939478.277826761</v>
      </c>
      <c r="E100" s="29" t="n">
        <f aca="false">IF(E99=1,E97+E98-E86,E85)</f>
        <v>936273.873050534</v>
      </c>
      <c r="F100" s="29" t="n">
        <f aca="false">IF(F99=1,F97+F98-F86,F85)</f>
        <v>906603.643081576</v>
      </c>
      <c r="G100" s="29" t="n">
        <f aca="false">IF(G99=1,G97+G98-G86,G85)</f>
        <v>237434.811732502</v>
      </c>
      <c r="H100" s="29" t="n">
        <f aca="false">IF(H99=1,H97+H98-H86,H85)</f>
        <v>674469.294466147</v>
      </c>
      <c r="I100" s="29" t="n">
        <f aca="false">IF(I99=1,I97+I98-I86,I85)</f>
        <v>936273.873050534</v>
      </c>
      <c r="J100" s="29" t="n">
        <f aca="false">IF(J99=1,J97+J98-J86,J85)</f>
        <v>806650.991485521</v>
      </c>
      <c r="K100" s="29" t="n">
        <f aca="false">IF(K99=1,K97+K98-K86,K85)</f>
        <v>796185.505543883</v>
      </c>
      <c r="L100" s="29" t="n">
        <f aca="false">IF(L99=1,L97+L98-L86,L85)</f>
        <v>0</v>
      </c>
      <c r="M100" s="29" t="n">
        <f aca="false">IF(M99=1,M97+M98-M86,M85)</f>
        <v>939478.277826761</v>
      </c>
    </row>
    <row r="101" customFormat="false" ht="15" hidden="false" customHeight="false" outlineLevel="0" collapsed="false">
      <c r="A101" s="5" t="s">
        <v>264</v>
      </c>
      <c r="B101" s="19" t="s">
        <v>101</v>
      </c>
      <c r="C101" s="35" t="n">
        <f aca="false">MAX(0,C100+C87+C86)</f>
        <v>949478.277826761</v>
      </c>
      <c r="D101" s="35" t="n">
        <f aca="false">MAX(0,D100+D87+D86)</f>
        <v>949478.277826761</v>
      </c>
      <c r="E101" s="35" t="n">
        <f aca="false">MAX(0,E100+E87+E86)</f>
        <v>946273.873050534</v>
      </c>
      <c r="F101" s="35" t="n">
        <f aca="false">MAX(0,F100+F87+F86)</f>
        <v>916603.643081576</v>
      </c>
      <c r="G101" s="35" t="n">
        <f aca="false">MAX(0,G100+G87+G86)</f>
        <v>259434.811732502</v>
      </c>
      <c r="H101" s="35" t="n">
        <f aca="false">MAX(0,H100+H87+H86)</f>
        <v>684469.294466147</v>
      </c>
      <c r="I101" s="35" t="n">
        <f aca="false">MAX(0,I100+I87+I86)</f>
        <v>946273.873050534</v>
      </c>
      <c r="J101" s="35" t="n">
        <f aca="false">MAX(0,J100+J87+J86)</f>
        <v>816650.991485521</v>
      </c>
      <c r="K101" s="35" t="n">
        <f aca="false">MAX(0,K100+K87+K86)</f>
        <v>796185.505543883</v>
      </c>
      <c r="L101" s="35" t="n">
        <f aca="false">MAX(0,L100+L87+L86)</f>
        <v>10000</v>
      </c>
      <c r="M101" s="35" t="n">
        <f aca="false">MAX(0,M100+M87+M86)</f>
        <v>949478.277826761</v>
      </c>
    </row>
    <row r="102" customFormat="false" ht="15" hidden="false" customHeight="false" outlineLevel="0" collapsed="false">
      <c r="A102" s="7" t="s">
        <v>265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</row>
    <row r="103" customFormat="false" ht="15" hidden="false" customHeight="false" outlineLevel="0" collapsed="false">
      <c r="A103" s="9" t="s">
        <v>266</v>
      </c>
      <c r="B103" s="19" t="s">
        <v>101</v>
      </c>
      <c r="C103" s="29" t="n">
        <f aca="false">Solver!C58</f>
        <v>328352.170374638</v>
      </c>
      <c r="D103" s="29" t="n">
        <f aca="false">Solver!D58</f>
        <v>357403.722328447</v>
      </c>
      <c r="E103" s="29" t="n">
        <f aca="false">Solver!E58</f>
        <v>270854.422938313</v>
      </c>
      <c r="F103" s="29" t="n">
        <f aca="false">Solver!F58</f>
        <v>317212.252008869</v>
      </c>
      <c r="G103" s="29" t="n">
        <f aca="false">Solver!G58</f>
        <v>259434.811732502</v>
      </c>
      <c r="H103" s="29" t="n">
        <f aca="false">Solver!H58</f>
        <v>684469.294466147</v>
      </c>
      <c r="I103" s="29" t="n">
        <f aca="false">Solver!I58</f>
        <v>946273.873050534</v>
      </c>
      <c r="J103" s="29" t="n">
        <f aca="false">Solver!J58</f>
        <v>365638.240000281</v>
      </c>
      <c r="K103" s="29" t="n">
        <f aca="false">Solver!K58</f>
        <v>183119.501315332</v>
      </c>
      <c r="L103" s="29" t="n">
        <f aca="false">Solver!L58</f>
        <v>0</v>
      </c>
      <c r="M103" s="29" t="n">
        <f aca="false">Solver!M58</f>
        <v>328352.170374638</v>
      </c>
    </row>
    <row r="104" customFormat="false" ht="15" hidden="false" customHeight="false" outlineLevel="0" collapsed="false">
      <c r="A104" s="9" t="s">
        <v>267</v>
      </c>
      <c r="B104" s="19" t="s">
        <v>101</v>
      </c>
      <c r="C104" s="29" t="n">
        <f aca="false">Solver!C112</f>
        <v>607048.519511873</v>
      </c>
      <c r="D104" s="29" t="n">
        <f aca="false">Solver!D112</f>
        <v>636100.071465681</v>
      </c>
      <c r="E104" s="29" t="n">
        <f aca="false">Solver!E112</f>
        <v>571267.370709619</v>
      </c>
      <c r="F104" s="29" t="n">
        <f aca="false">Solver!F112</f>
        <v>628069.700454507</v>
      </c>
      <c r="G104" s="29" t="n">
        <f aca="false">Solver!G112</f>
        <v>351127.117076354</v>
      </c>
      <c r="H104" s="29" t="n">
        <f aca="false">Solver!H112</f>
        <v>884744.59298035</v>
      </c>
      <c r="I104" s="29" t="n">
        <f aca="false">Solver!I112</f>
        <v>1246686.82082184</v>
      </c>
      <c r="J104" s="29" t="n">
        <f aca="false">Solver!J112</f>
        <v>173180.916994343</v>
      </c>
      <c r="K104" s="29" t="n">
        <f aca="false">Solver!K112</f>
        <v>483532.449086637</v>
      </c>
      <c r="L104" s="29" t="n">
        <f aca="false">Solver!L112</f>
        <v>0</v>
      </c>
      <c r="M104" s="29" t="n">
        <f aca="false">Solver!M112</f>
        <v>607048.519511873</v>
      </c>
    </row>
    <row r="105" customFormat="false" ht="15" hidden="false" customHeight="false" outlineLevel="0" collapsed="false">
      <c r="A105" s="5" t="s">
        <v>43</v>
      </c>
      <c r="B105" s="19" t="s">
        <v>101</v>
      </c>
      <c r="C105" s="35" t="n">
        <f aca="false">IF(C47=1,MIN(C103,IF(C92=1,C104,1000000000000000)),C101)</f>
        <v>328352.170374638</v>
      </c>
      <c r="D105" s="35" t="n">
        <f aca="false">IF(D47=1,MIN(D103,IF(D92=1,D104,1000000000000000)),D101)</f>
        <v>357403.722328447</v>
      </c>
      <c r="E105" s="35" t="n">
        <f aca="false">IF(E47=1,MIN(E103,IF(E92=1,E104,1000000000000000)),E101)</f>
        <v>270854.422938313</v>
      </c>
      <c r="F105" s="35" t="n">
        <f aca="false">IF(F47=1,MIN(F103,IF(F92=1,F104,1000000000000000)),F101)</f>
        <v>317212.252008869</v>
      </c>
      <c r="G105" s="35" t="n">
        <f aca="false">IF(G47=1,MIN(G103,IF(G92=1,G104,1000000000000000)),G101)</f>
        <v>259434.811732502</v>
      </c>
      <c r="H105" s="35" t="n">
        <f aca="false">IF(H47=1,MIN(H103,IF(H92=1,H104,1000000000000000)),H101)</f>
        <v>684469.294466147</v>
      </c>
      <c r="I105" s="35" t="n">
        <f aca="false">IF(I47=1,MIN(I103,IF(I92=1,I104,1000000000000000)),I101)</f>
        <v>946273.873050534</v>
      </c>
      <c r="J105" s="35" t="n">
        <f aca="false">IF(J47=1,MIN(J103,IF(J92=1,J104,1000000000000000)),J101)</f>
        <v>173180.916994343</v>
      </c>
      <c r="K105" s="35" t="n">
        <f aca="false">IF(K47=1,MIN(K103,IF(K92=1,K104,1000000000000000)),K101)</f>
        <v>183119.501315332</v>
      </c>
      <c r="L105" s="35" t="n">
        <f aca="false">IF(L47=1,MIN(L103,IF(L92=1,L104,1000000000000000)),L101)</f>
        <v>0</v>
      </c>
      <c r="M105" s="35" t="n">
        <f aca="false">IF(M47=1,MIN(M103,IF(M92=1,M104,1000000000000000)),M101)</f>
        <v>328352.170374638</v>
      </c>
    </row>
    <row r="106" customFormat="false" ht="15" hidden="false" customHeight="false" outlineLevel="0" collapsed="false">
      <c r="A106" s="9" t="s">
        <v>268</v>
      </c>
      <c r="B106" s="19" t="s">
        <v>101</v>
      </c>
      <c r="C106" s="29" t="n">
        <f aca="false">C43+C105</f>
        <v>952102.080374638</v>
      </c>
      <c r="D106" s="29" t="n">
        <f aca="false">D43+D105</f>
        <v>981153.632328447</v>
      </c>
      <c r="E106" s="29" t="n">
        <f aca="false">E43+E105</f>
        <v>894604.332938314</v>
      </c>
      <c r="F106" s="29" t="n">
        <f aca="false">F43+F105</f>
        <v>940962.162008869</v>
      </c>
      <c r="G106" s="29" t="n">
        <f aca="false">G43+G105</f>
        <v>259434.811732502</v>
      </c>
      <c r="H106" s="29" t="n">
        <f aca="false">H43+H105</f>
        <v>684469.294466147</v>
      </c>
      <c r="I106" s="29" t="n">
        <f aca="false">I43+I105</f>
        <v>946273.873050534</v>
      </c>
      <c r="J106" s="29" t="n">
        <f aca="false">J43+J105</f>
        <v>796930.826994343</v>
      </c>
      <c r="K106" s="29" t="n">
        <f aca="false">K43+K105</f>
        <v>733119.501315332</v>
      </c>
      <c r="L106" s="29" t="n">
        <f aca="false">L43+L105</f>
        <v>623749.91</v>
      </c>
      <c r="M106" s="29" t="n">
        <f aca="false">M43+M105</f>
        <v>952102.080374638</v>
      </c>
    </row>
    <row r="107" customFormat="false" ht="15" hidden="false" customHeight="false" outlineLevel="0" collapsed="false">
      <c r="A107" s="9" t="s">
        <v>269</v>
      </c>
      <c r="B107" s="19" t="s">
        <v>157</v>
      </c>
      <c r="C107" s="30" t="n">
        <f aca="false">IF(C47=1,(C45+C105*360*C10)/(C46+C105*360),C10)</f>
        <v>0.036487603997058</v>
      </c>
      <c r="D107" s="30" t="n">
        <f aca="false">IF(D47=1,(D45+D105*360*D10)/(D46+D105*360),D10)</f>
        <v>0.0374969289823598</v>
      </c>
      <c r="E107" s="30" t="n">
        <f aca="false">IF(E47=1,(E45+E105*360*E10)/(E46+E105*360),E10)</f>
        <v>0.0490048046834976</v>
      </c>
      <c r="F107" s="30" t="n">
        <f aca="false">IF(F47=1,(F45+F105*360*F10)/(F46+F105*360),F10)</f>
        <v>0.0374621051353357</v>
      </c>
      <c r="G107" s="30" t="n">
        <f aca="false">IF(G47=1,(G45+G105*360*G10)/(G46+G105*360),G10)</f>
        <v>0.0469</v>
      </c>
      <c r="H107" s="30" t="n">
        <f aca="false">IF(H47=1,(H45+H105*360*H10)/(H46+H105*360),H10)</f>
        <v>0.0469</v>
      </c>
      <c r="I107" s="30" t="n">
        <f aca="false">IF(I47=1,(I45+I105*360*I10)/(I46+I105*360),I10)</f>
        <v>0.0469</v>
      </c>
      <c r="J107" s="30" t="n">
        <f aca="false">IF(J47=1,(J45+J105*360*J10)/(J46+J105*360),J10)</f>
        <v>0.0343218642018328</v>
      </c>
      <c r="K107" s="30" t="n">
        <f aca="false">IF(K47=1,(K45+K105*360*K10)/(K46+K105*360),K10)</f>
        <v>0.0491367068438924</v>
      </c>
      <c r="L107" s="30" t="n">
        <f aca="false">IF(L47=1,(L45+L105*360*L10)/(L46+L105*360),L10)</f>
        <v>0.0305192969440084</v>
      </c>
      <c r="M107" s="30" t="n">
        <f aca="false">IF(M47=1,(M45+M105*360*M10)/(M46+M105*360),M10)</f>
        <v>0.036487603997058</v>
      </c>
    </row>
    <row r="108" customFormat="false" ht="15" hidden="false" customHeight="false" outlineLevel="0" collapsed="false">
      <c r="A108" s="7" t="s">
        <v>270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</row>
    <row r="109" customFormat="false" ht="15" hidden="false" customHeight="false" outlineLevel="0" collapsed="false">
      <c r="A109" s="9" t="s">
        <v>271</v>
      </c>
      <c r="B109" s="19" t="s">
        <v>101</v>
      </c>
      <c r="C109" s="29" t="n">
        <f aca="false">MAX(0,Invoer!C21-C43)</f>
        <v>376250.09</v>
      </c>
      <c r="D109" s="29" t="n">
        <f aca="false">MAX(0,Invoer!D21-D43)</f>
        <v>876250.09</v>
      </c>
      <c r="E109" s="29" t="n">
        <f aca="false">MAX(0,Invoer!E21-E43)</f>
        <v>376250.09</v>
      </c>
      <c r="F109" s="29" t="n">
        <f aca="false">MAX(0,Invoer!F21-F43)</f>
        <v>376250.09</v>
      </c>
      <c r="G109" s="29" t="n">
        <f aca="false">MAX(0,Invoer!G21-G43)</f>
        <v>1000000</v>
      </c>
      <c r="H109" s="29" t="n">
        <f aca="false">MAX(0,Invoer!H21-H43)</f>
        <v>1000000</v>
      </c>
      <c r="I109" s="29" t="n">
        <f aca="false">MAX(0,Invoer!I21-I43)</f>
        <v>1000000</v>
      </c>
      <c r="J109" s="29" t="n">
        <f aca="false">MAX(0,Invoer!J21-J43)</f>
        <v>376250.09</v>
      </c>
      <c r="K109" s="29" t="n">
        <f aca="false">MAX(0,Invoer!K21-K43)</f>
        <v>450000</v>
      </c>
      <c r="L109" s="29" t="n">
        <f aca="false">MAX(0,Invoer!L21-L43)</f>
        <v>376250.09</v>
      </c>
      <c r="M109" s="29" t="n">
        <f aca="false">MAX(0,Invoer!M21-M43)</f>
        <v>376250.09</v>
      </c>
    </row>
    <row r="110" customFormat="false" ht="15" hidden="false" customHeight="false" outlineLevel="0" collapsed="false">
      <c r="A110" s="9" t="s">
        <v>272</v>
      </c>
      <c r="B110" s="19" t="s">
        <v>101</v>
      </c>
      <c r="C110" s="29" t="n">
        <f aca="false">MIN(C105,C109)</f>
        <v>328352.170374638</v>
      </c>
      <c r="D110" s="29" t="n">
        <f aca="false">MIN(D105,D109)</f>
        <v>357403.722328447</v>
      </c>
      <c r="E110" s="29" t="n">
        <f aca="false">MIN(E105,E109)</f>
        <v>270854.422938313</v>
      </c>
      <c r="F110" s="29" t="n">
        <f aca="false">MIN(F105,F109)</f>
        <v>317212.252008869</v>
      </c>
      <c r="G110" s="29" t="n">
        <f aca="false">MIN(G105,G109)</f>
        <v>259434.811732502</v>
      </c>
      <c r="H110" s="29" t="n">
        <f aca="false">MIN(H105,H109)</f>
        <v>684469.294466147</v>
      </c>
      <c r="I110" s="29" t="n">
        <f aca="false">MIN(I105,I109)</f>
        <v>946273.873050534</v>
      </c>
      <c r="J110" s="29" t="n">
        <f aca="false">MIN(J105,J109)</f>
        <v>173180.916994343</v>
      </c>
      <c r="K110" s="29" t="n">
        <f aca="false">MIN(K105,K109)</f>
        <v>183119.501315332</v>
      </c>
      <c r="L110" s="29" t="n">
        <f aca="false">MIN(L105,L109)</f>
        <v>0</v>
      </c>
      <c r="M110" s="29" t="n">
        <f aca="false">MIN(M105,M109)</f>
        <v>328352.170374638</v>
      </c>
    </row>
    <row r="111" customFormat="false" ht="15" hidden="false" customHeight="false" outlineLevel="0" collapsed="false">
      <c r="A111" s="9" t="s">
        <v>273</v>
      </c>
      <c r="B111" s="19" t="s">
        <v>101</v>
      </c>
      <c r="C111" s="29" t="n">
        <f aca="false">C110-C60</f>
        <v>4372.1703746377</v>
      </c>
      <c r="D111" s="29" t="n">
        <f aca="false">D110-D60</f>
        <v>33423.7223284466</v>
      </c>
      <c r="E111" s="29" t="n">
        <f aca="false">E110-E60</f>
        <v>-53125.5770616866</v>
      </c>
      <c r="F111" s="29" t="n">
        <f aca="false">F110-F60</f>
        <v>-6767.74799113092</v>
      </c>
      <c r="G111" s="29" t="n">
        <f aca="false">G110-G60</f>
        <v>259434.811732502</v>
      </c>
      <c r="H111" s="29" t="n">
        <f aca="false">H110-H60</f>
        <v>684469.294466147</v>
      </c>
      <c r="I111" s="29" t="n">
        <f aca="false">I110-I60</f>
        <v>-1456.03694946633</v>
      </c>
      <c r="J111" s="29" t="n">
        <f aca="false">J110-J60</f>
        <v>-150799.083005657</v>
      </c>
      <c r="K111" s="29" t="n">
        <f aca="false">K110-K60</f>
        <v>719.501315332163</v>
      </c>
      <c r="L111" s="29" t="n">
        <f aca="false">L110-L60</f>
        <v>-323980</v>
      </c>
      <c r="M111" s="29" t="n">
        <f aca="false">M110-M60</f>
        <v>4372.1703746377</v>
      </c>
    </row>
    <row r="112" customFormat="false" ht="15" hidden="false" customHeight="false" outlineLevel="0" collapsed="false">
      <c r="A112" s="9" t="s">
        <v>274</v>
      </c>
      <c r="B112" s="19" t="s">
        <v>101</v>
      </c>
      <c r="C112" s="29" t="n">
        <f aca="false">Invoer!C64-C57</f>
        <v>117770</v>
      </c>
      <c r="D112" s="29" t="n">
        <f aca="false">Invoer!D64-D57</f>
        <v>117770</v>
      </c>
      <c r="E112" s="29" t="n">
        <f aca="false">Invoer!E64-E57</f>
        <v>117770</v>
      </c>
      <c r="F112" s="29" t="n">
        <f aca="false">Invoer!F64-F57</f>
        <v>117770</v>
      </c>
      <c r="G112" s="29" t="n">
        <f aca="false">Invoer!G64-G57</f>
        <v>27300</v>
      </c>
      <c r="H112" s="29" t="n">
        <f aca="false">Invoer!H64-H57</f>
        <v>55050</v>
      </c>
      <c r="I112" s="29" t="n">
        <f aca="false">Invoer!I64-I57</f>
        <v>117770</v>
      </c>
      <c r="J112" s="29" t="n">
        <f aca="false">Invoer!J64-J57</f>
        <v>117770</v>
      </c>
      <c r="K112" s="29" t="n">
        <f aca="false">Invoer!K64-K57</f>
        <v>62600</v>
      </c>
      <c r="L112" s="29" t="n">
        <f aca="false">Invoer!L64-L57</f>
        <v>117770</v>
      </c>
      <c r="M112" s="29" t="n">
        <f aca="false">Invoer!M64-M57</f>
        <v>117770</v>
      </c>
    </row>
    <row r="113" customFormat="false" ht="15" hidden="false" customHeight="false" outlineLevel="0" collapsed="false">
      <c r="A113" s="9" t="s">
        <v>275</v>
      </c>
      <c r="B113" s="19" t="s">
        <v>101</v>
      </c>
      <c r="C113" s="29" t="n">
        <f aca="false">MAX(0,-C112)</f>
        <v>0</v>
      </c>
      <c r="D113" s="29" t="n">
        <f aca="false">MAX(0,-D112)</f>
        <v>0</v>
      </c>
      <c r="E113" s="29" t="n">
        <f aca="false">MAX(0,-E112)</f>
        <v>0</v>
      </c>
      <c r="F113" s="29" t="n">
        <f aca="false">MAX(0,-F112)</f>
        <v>0</v>
      </c>
      <c r="G113" s="29" t="n">
        <f aca="false">MAX(0,-G112)</f>
        <v>0</v>
      </c>
      <c r="H113" s="29" t="n">
        <f aca="false">MAX(0,-H112)</f>
        <v>0</v>
      </c>
      <c r="I113" s="29" t="n">
        <f aca="false">MAX(0,-I112)</f>
        <v>0</v>
      </c>
      <c r="J113" s="29" t="n">
        <f aca="false">MAX(0,-J112)</f>
        <v>0</v>
      </c>
      <c r="K113" s="29" t="n">
        <f aca="false">MAX(0,-K112)</f>
        <v>0</v>
      </c>
      <c r="L113" s="29" t="n">
        <f aca="false">MAX(0,-L112)</f>
        <v>0</v>
      </c>
      <c r="M113" s="29" t="n">
        <f aca="false">MAX(0,-M112)</f>
        <v>0</v>
      </c>
    </row>
    <row r="114" customFormat="false" ht="15" hidden="false" customHeight="false" outlineLevel="0" collapsed="false">
      <c r="A114" s="9" t="s">
        <v>276</v>
      </c>
      <c r="B114" s="19" t="s">
        <v>101</v>
      </c>
      <c r="C114" s="29" t="n">
        <f aca="false">MAX(0,Invoer!C20-MAX(0,C112))</f>
        <v>1212230</v>
      </c>
      <c r="D114" s="29" t="n">
        <f aca="false">MAX(0,Invoer!D20-MAX(0,D112))</f>
        <v>1212230</v>
      </c>
      <c r="E114" s="29" t="n">
        <f aca="false">MAX(0,Invoer!E20-MAX(0,E112))</f>
        <v>1212230</v>
      </c>
      <c r="F114" s="29" t="n">
        <f aca="false">MAX(0,Invoer!F20-MAX(0,F112))</f>
        <v>1212230</v>
      </c>
      <c r="G114" s="29" t="n">
        <f aca="false">MAX(0,Invoer!G20-MAX(0,G112))</f>
        <v>372700</v>
      </c>
      <c r="H114" s="29" t="n">
        <f aca="false">MAX(0,Invoer!H20-MAX(0,H112))</f>
        <v>594950</v>
      </c>
      <c r="I114" s="29" t="n">
        <f aca="false">MAX(0,Invoer!I20-MAX(0,I112))</f>
        <v>1212230</v>
      </c>
      <c r="J114" s="29" t="n">
        <f aca="false">MAX(0,Invoer!J20-MAX(0,J112))</f>
        <v>1212230</v>
      </c>
      <c r="K114" s="29" t="n">
        <f aca="false">MAX(0,Invoer!K20-MAX(0,K112))</f>
        <v>1037400</v>
      </c>
      <c r="L114" s="29" t="n">
        <f aca="false">MAX(0,Invoer!L20-MAX(0,L112))</f>
        <v>1212230</v>
      </c>
      <c r="M114" s="29" t="n">
        <f aca="false">MAX(0,Invoer!M20-MAX(0,M112))</f>
        <v>1212230</v>
      </c>
    </row>
    <row r="115" customFormat="false" ht="15" hidden="false" customHeight="false" outlineLevel="0" collapsed="false">
      <c r="A115" s="9" t="s">
        <v>277</v>
      </c>
      <c r="B115" s="19" t="s">
        <v>101</v>
      </c>
      <c r="C115" s="29" t="n">
        <f aca="false">MIN(C101,Invoer!C21)</f>
        <v>949478.277826761</v>
      </c>
      <c r="D115" s="29" t="n">
        <f aca="false">MIN(D101,Invoer!D21)</f>
        <v>949478.277826761</v>
      </c>
      <c r="E115" s="29" t="n">
        <f aca="false">MIN(E101,Invoer!E21)</f>
        <v>946273.873050534</v>
      </c>
      <c r="F115" s="29" t="n">
        <f aca="false">MIN(F101,Invoer!F21)</f>
        <v>916603.643081576</v>
      </c>
      <c r="G115" s="29" t="n">
        <f aca="false">MIN(G101,Invoer!G21)</f>
        <v>259434.811732502</v>
      </c>
      <c r="H115" s="29" t="n">
        <f aca="false">MIN(H101,Invoer!H21)</f>
        <v>684469.294466147</v>
      </c>
      <c r="I115" s="29" t="n">
        <f aca="false">MIN(I101,Invoer!I21)</f>
        <v>946273.873050534</v>
      </c>
      <c r="J115" s="29" t="n">
        <f aca="false">MIN(J101,Invoer!J21)</f>
        <v>816650.991485521</v>
      </c>
      <c r="K115" s="29" t="n">
        <f aca="false">MIN(K101,Invoer!K21)</f>
        <v>796185.505543883</v>
      </c>
      <c r="L115" s="29" t="n">
        <f aca="false">MIN(L101,Invoer!L21)</f>
        <v>10000</v>
      </c>
      <c r="M115" s="29" t="n">
        <f aca="false">MIN(M101,Invoer!M21)</f>
        <v>949478.277826761</v>
      </c>
    </row>
    <row r="116" customFormat="false" ht="15" hidden="false" customHeight="false" outlineLevel="0" collapsed="false">
      <c r="A116" s="9" t="s">
        <v>278</v>
      </c>
      <c r="B116" s="19" t="s">
        <v>101</v>
      </c>
      <c r="C116" s="29" t="n">
        <f aca="false">MAX(0,C114-C115)+C113</f>
        <v>262751.722173239</v>
      </c>
      <c r="D116" s="29" t="n">
        <f aca="false">MAX(0,D114-D115)+D113</f>
        <v>262751.722173239</v>
      </c>
      <c r="E116" s="29" t="n">
        <f aca="false">MAX(0,E114-E115)+E113</f>
        <v>265956.126949466</v>
      </c>
      <c r="F116" s="29" t="n">
        <f aca="false">MAX(0,F114-F115)+F113</f>
        <v>295626.356918424</v>
      </c>
      <c r="G116" s="29" t="n">
        <f aca="false">MAX(0,G114-G115)+G113</f>
        <v>113265.188267498</v>
      </c>
      <c r="H116" s="29" t="n">
        <f aca="false">MAX(0,H114-H115)+H113</f>
        <v>0</v>
      </c>
      <c r="I116" s="29" t="n">
        <f aca="false">MAX(0,I114-I115)+I113</f>
        <v>265956.126949466</v>
      </c>
      <c r="J116" s="29" t="n">
        <f aca="false">MAX(0,J114-J115)+J113</f>
        <v>395579.008514479</v>
      </c>
      <c r="K116" s="29" t="n">
        <f aca="false">MAX(0,K114-K115)+K113</f>
        <v>241214.494456117</v>
      </c>
      <c r="L116" s="29" t="n">
        <f aca="false">MAX(0,L114-L115)+L113</f>
        <v>1202230</v>
      </c>
      <c r="M116" s="29" t="n">
        <f aca="false">MAX(0,M114-M115)+M113</f>
        <v>262751.722173239</v>
      </c>
    </row>
    <row r="117" customFormat="false" ht="15" hidden="false" customHeight="false" outlineLevel="0" collapsed="false">
      <c r="A117" s="5" t="s">
        <v>279</v>
      </c>
      <c r="B117" s="19" t="s">
        <v>101</v>
      </c>
      <c r="C117" s="35" t="n">
        <f aca="false">IF(C6=1,C43+C110,C115)</f>
        <v>952102.080374638</v>
      </c>
      <c r="D117" s="35" t="n">
        <f aca="false">IF(D6=1,D43+D110,D115)</f>
        <v>981153.632328447</v>
      </c>
      <c r="E117" s="35" t="n">
        <f aca="false">IF(E6=1,E43+E110,E115)</f>
        <v>894604.332938314</v>
      </c>
      <c r="F117" s="35" t="n">
        <f aca="false">IF(F6=1,F43+F110,F115)</f>
        <v>940962.162008869</v>
      </c>
      <c r="G117" s="35" t="n">
        <f aca="false">IF(G6=1,G43+G110,G115)</f>
        <v>259434.811732502</v>
      </c>
      <c r="H117" s="35" t="n">
        <f aca="false">IF(H6=1,H43+H110,H115)</f>
        <v>684469.294466147</v>
      </c>
      <c r="I117" s="35" t="n">
        <f aca="false">IF(I6=1,I43+I110,I115)</f>
        <v>946273.873050534</v>
      </c>
      <c r="J117" s="35" t="n">
        <f aca="false">IF(J6=1,J43+J110,J115)</f>
        <v>796930.826994343</v>
      </c>
      <c r="K117" s="35" t="n">
        <f aca="false">IF(K6=1,K43+K110,K115)</f>
        <v>733119.501315332</v>
      </c>
      <c r="L117" s="35" t="n">
        <f aca="false">IF(L6=1,L43+L110,L115)</f>
        <v>623749.91</v>
      </c>
      <c r="M117" s="35" t="n">
        <f aca="false">IF(M6=1,M43+M110,M115)</f>
        <v>952102.080374638</v>
      </c>
    </row>
    <row r="118" customFormat="false" ht="15" hidden="false" customHeight="false" outlineLevel="0" collapsed="false">
      <c r="A118" s="5" t="s">
        <v>280</v>
      </c>
      <c r="B118" s="19" t="s">
        <v>101</v>
      </c>
      <c r="C118" s="35" t="n">
        <f aca="false">IF(C6=1,C110,C115)</f>
        <v>328352.170374638</v>
      </c>
      <c r="D118" s="35" t="n">
        <f aca="false">IF(D6=1,D110,D115)</f>
        <v>357403.722328447</v>
      </c>
      <c r="E118" s="35" t="n">
        <f aca="false">IF(E6=1,E110,E115)</f>
        <v>270854.422938313</v>
      </c>
      <c r="F118" s="35" t="n">
        <f aca="false">IF(F6=1,F110,F115)</f>
        <v>317212.252008869</v>
      </c>
      <c r="G118" s="35" t="n">
        <f aca="false">IF(G6=1,G110,G115)</f>
        <v>259434.811732502</v>
      </c>
      <c r="H118" s="35" t="n">
        <f aca="false">IF(H6=1,H110,H115)</f>
        <v>684469.294466147</v>
      </c>
      <c r="I118" s="35" t="n">
        <f aca="false">IF(I6=1,I110,I115)</f>
        <v>946273.873050534</v>
      </c>
      <c r="J118" s="35" t="n">
        <f aca="false">IF(J6=1,J110,J115)</f>
        <v>173180.916994343</v>
      </c>
      <c r="K118" s="35" t="n">
        <f aca="false">IF(K6=1,K110,K115)</f>
        <v>183119.501315332</v>
      </c>
      <c r="L118" s="35" t="n">
        <f aca="false">IF(L6=1,L110,L115)</f>
        <v>0</v>
      </c>
      <c r="M118" s="35" t="n">
        <f aca="false">IF(M6=1,M110,M115)</f>
        <v>328352.170374638</v>
      </c>
    </row>
    <row r="119" customFormat="false" ht="15" hidden="false" customHeight="false" outlineLevel="0" collapsed="false">
      <c r="A119" s="5" t="s">
        <v>281</v>
      </c>
      <c r="B119" s="19" t="s">
        <v>101</v>
      </c>
      <c r="C119" s="35" t="n">
        <f aca="false">IF(C6=1,C60,C114)</f>
        <v>323980</v>
      </c>
      <c r="D119" s="35" t="n">
        <f aca="false">IF(D6=1,D60,D114)</f>
        <v>323980</v>
      </c>
      <c r="E119" s="35" t="n">
        <f aca="false">IF(E6=1,E60,E114)</f>
        <v>323980</v>
      </c>
      <c r="F119" s="35" t="n">
        <f aca="false">IF(F6=1,F60,F114)</f>
        <v>323980</v>
      </c>
      <c r="G119" s="35" t="n">
        <f aca="false">IF(G6=1,G60,G114)</f>
        <v>372700</v>
      </c>
      <c r="H119" s="35" t="n">
        <f aca="false">IF(H6=1,H60,H114)</f>
        <v>594950</v>
      </c>
      <c r="I119" s="35" t="n">
        <f aca="false">IF(I6=1,I60,I114)</f>
        <v>947729.91</v>
      </c>
      <c r="J119" s="35" t="n">
        <f aca="false">IF(J6=1,J60,J114)</f>
        <v>323980</v>
      </c>
      <c r="K119" s="35" t="n">
        <f aca="false">IF(K6=1,K60,K114)</f>
        <v>182400</v>
      </c>
      <c r="L119" s="35" t="n">
        <f aca="false">IF(L6=1,L60,L114)</f>
        <v>323980</v>
      </c>
      <c r="M119" s="35" t="n">
        <f aca="false">IF(M6=1,M60,M114)</f>
        <v>323980</v>
      </c>
    </row>
    <row r="120" customFormat="false" ht="15" hidden="false" customHeight="false" outlineLevel="0" collapsed="false">
      <c r="A120" s="5" t="s">
        <v>282</v>
      </c>
      <c r="B120" s="19" t="s">
        <v>101</v>
      </c>
      <c r="C120" s="35" t="n">
        <f aca="false">C118-C119</f>
        <v>4372.1703746377</v>
      </c>
      <c r="D120" s="35" t="n">
        <f aca="false">D118-D119</f>
        <v>33423.7223284466</v>
      </c>
      <c r="E120" s="35" t="n">
        <f aca="false">E118-E119</f>
        <v>-53125.5770616866</v>
      </c>
      <c r="F120" s="35" t="n">
        <f aca="false">F118-F119</f>
        <v>-6767.74799113092</v>
      </c>
      <c r="G120" s="35" t="n">
        <f aca="false">G118-G119</f>
        <v>-113265.188267498</v>
      </c>
      <c r="H120" s="35" t="n">
        <f aca="false">H118-H119</f>
        <v>89519.2944661467</v>
      </c>
      <c r="I120" s="35" t="n">
        <f aca="false">I118-I119</f>
        <v>-1456.03694946633</v>
      </c>
      <c r="J120" s="35" t="n">
        <f aca="false">J118-J119</f>
        <v>-150799.083005657</v>
      </c>
      <c r="K120" s="35" t="n">
        <f aca="false">K118-K119</f>
        <v>719.501315332163</v>
      </c>
      <c r="L120" s="35" t="n">
        <f aca="false">L118-L119</f>
        <v>-323980</v>
      </c>
      <c r="M120" s="35" t="n">
        <f aca="false">M118-M119</f>
        <v>4372.1703746377</v>
      </c>
    </row>
    <row r="121" customFormat="false" ht="15" hidden="false" customHeight="false" outlineLevel="0" collapsed="false">
      <c r="A121" s="5" t="s">
        <v>283</v>
      </c>
      <c r="B121" s="19" t="s">
        <v>101</v>
      </c>
      <c r="C121" s="35" t="n">
        <f aca="false">IF(C6=1,MAX(0,-C111),C116)</f>
        <v>0</v>
      </c>
      <c r="D121" s="35" t="n">
        <f aca="false">IF(D6=1,MAX(0,-D111),D116)</f>
        <v>0</v>
      </c>
      <c r="E121" s="35" t="n">
        <f aca="false">IF(E6=1,MAX(0,-E111),E116)</f>
        <v>53125.5770616866</v>
      </c>
      <c r="F121" s="35" t="n">
        <f aca="false">IF(F6=1,MAX(0,-F111),F116)</f>
        <v>6767.74799113092</v>
      </c>
      <c r="G121" s="35" t="n">
        <f aca="false">IF(G6=1,MAX(0,-G111),G116)</f>
        <v>113265.188267498</v>
      </c>
      <c r="H121" s="35" t="n">
        <f aca="false">IF(H6=1,MAX(0,-H111),H116)</f>
        <v>0</v>
      </c>
      <c r="I121" s="35" t="n">
        <f aca="false">IF(I6=1,MAX(0,-I111),I116)</f>
        <v>1456.03694946633</v>
      </c>
      <c r="J121" s="35" t="n">
        <f aca="false">IF(J6=1,MAX(0,-J111),J116)</f>
        <v>150799.083005657</v>
      </c>
      <c r="K121" s="35" t="n">
        <f aca="false">IF(K6=1,MAX(0,-K111),K116)</f>
        <v>0</v>
      </c>
      <c r="L121" s="35" t="n">
        <f aca="false">IF(L6=1,MAX(0,-L111),L116)</f>
        <v>323980</v>
      </c>
      <c r="M121" s="35" t="n">
        <f aca="false">IF(M6=1,MAX(0,-M111),M116)</f>
        <v>0</v>
      </c>
    </row>
    <row r="122" customFormat="false" ht="15" hidden="false" customHeight="false" outlineLevel="0" collapsed="false">
      <c r="A122" s="5" t="s">
        <v>284</v>
      </c>
      <c r="B122" s="19"/>
      <c r="C122" s="39" t="n">
        <f aca="false">IF(C6=1,IF(C111&gt;=0,1,0),IF(C116&lt;=0,1,0))</f>
        <v>1</v>
      </c>
      <c r="D122" s="39" t="n">
        <f aca="false">IF(D6=1,IF(D111&gt;=0,1,0),IF(D116&lt;=0,1,0))</f>
        <v>1</v>
      </c>
      <c r="E122" s="39" t="n">
        <f aca="false">IF(E6=1,IF(E111&gt;=0,1,0),IF(E116&lt;=0,1,0))</f>
        <v>0</v>
      </c>
      <c r="F122" s="39" t="n">
        <f aca="false">IF(F6=1,IF(F111&gt;=0,1,0),IF(F116&lt;=0,1,0))</f>
        <v>0</v>
      </c>
      <c r="G122" s="39" t="n">
        <f aca="false">IF(G6=1,IF(G111&gt;=0,1,0),IF(G116&lt;=0,1,0))</f>
        <v>0</v>
      </c>
      <c r="H122" s="39" t="n">
        <f aca="false">IF(H6=1,IF(H111&gt;=0,1,0),IF(H116&lt;=0,1,0))</f>
        <v>1</v>
      </c>
      <c r="I122" s="39" t="n">
        <f aca="false">IF(I6=1,IF(I111&gt;=0,1,0),IF(I116&lt;=0,1,0))</f>
        <v>0</v>
      </c>
      <c r="J122" s="39" t="n">
        <f aca="false">IF(J6=1,IF(J111&gt;=0,1,0),IF(J116&lt;=0,1,0))</f>
        <v>0</v>
      </c>
      <c r="K122" s="39" t="n">
        <f aca="false">IF(K6=1,IF(K111&gt;=0,1,0),IF(K116&lt;=0,1,0))</f>
        <v>1</v>
      </c>
      <c r="L122" s="39" t="n">
        <f aca="false">IF(L6=1,IF(L111&gt;=0,1,0),IF(L116&lt;=0,1,0))</f>
        <v>0</v>
      </c>
      <c r="M122" s="39" t="n">
        <f aca="false">IF(M6=1,IF(M111&gt;=0,1,0),IF(M116&lt;=0,1,0))</f>
        <v>1</v>
      </c>
    </row>
    <row r="123" customFormat="false" ht="15" hidden="false" customHeight="false" outlineLevel="0" collapsed="false">
      <c r="A123" s="9" t="s">
        <v>285</v>
      </c>
      <c r="B123" s="19" t="s">
        <v>101</v>
      </c>
      <c r="C123" s="29" t="n">
        <f aca="false">IF(C6=1,Invoer!C64+C50+C43+C110-C51-Invoer!C20-C57,"n.v.t.")</f>
        <v>4372.1703746377</v>
      </c>
      <c r="D123" s="29" t="n">
        <f aca="false">IF(D6=1,Invoer!D64+D50+D43+D110-D51-Invoer!D20-D57,"n.v.t.")</f>
        <v>33423.7223284466</v>
      </c>
      <c r="E123" s="29" t="n">
        <f aca="false">IF(E6=1,Invoer!E64+E50+E43+E110-E51-Invoer!E20-E57,"n.v.t.")</f>
        <v>-53125.5770616867</v>
      </c>
      <c r="F123" s="29" t="n">
        <f aca="false">IF(F6=1,Invoer!F64+F50+F43+F110-F51-Invoer!F20-F57,"n.v.t.")</f>
        <v>-6767.74799113092</v>
      </c>
      <c r="G123" s="29" t="str">
        <f aca="false">IF(G6=1,Invoer!G64+G50+G43+G110-G51-Invoer!G20-G57,"n.v.t.")</f>
        <v>n.v.t.</v>
      </c>
      <c r="H123" s="29" t="str">
        <f aca="false">IF(H6=1,Invoer!H64+H50+H43+H110-H51-Invoer!H20-H57,"n.v.t.")</f>
        <v>n.v.t.</v>
      </c>
      <c r="I123" s="29" t="n">
        <f aca="false">IF(I6=1,Invoer!I64+I50+I43+I110-I51-Invoer!I20-I57,"n.v.t.")</f>
        <v>-1456.03694946622</v>
      </c>
      <c r="J123" s="29" t="n">
        <f aca="false">IF(J6=1,Invoer!J64+J50+J43+J110-J51-Invoer!J20-J57,"n.v.t.")</f>
        <v>-150799.083005657</v>
      </c>
      <c r="K123" s="29" t="n">
        <f aca="false">IF(K6=1,Invoer!K64+K50+K43+K110-K51-Invoer!K20-K57,"n.v.t.")</f>
        <v>719.501315332251</v>
      </c>
      <c r="L123" s="29" t="n">
        <f aca="false">IF(L6=1,Invoer!L64+L50+L43+L110-L51-Invoer!L20-L57,"n.v.t.")</f>
        <v>-323980</v>
      </c>
      <c r="M123" s="29" t="n">
        <f aca="false">IF(M6=1,Invoer!M64+M50+M43+M110-M51-Invoer!M20-M57,"n.v.t.")</f>
        <v>4372.1703746377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true"/>
  </sheetPr>
  <dimension ref="A1:M1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12"/>
    <col collapsed="false" customWidth="true" hidden="false" outlineLevel="0" max="13" min="3" style="0" width="16"/>
  </cols>
  <sheetData>
    <row r="1" customFormat="false" ht="19.7" hidden="false" customHeight="false" outlineLevel="0" collapsed="false">
      <c r="A1" s="1" t="s">
        <v>286</v>
      </c>
    </row>
    <row r="2" customFormat="false" ht="15" hidden="false" customHeight="false" outlineLevel="0" collapsed="false">
      <c r="A2" s="2" t="s">
        <v>287</v>
      </c>
    </row>
    <row r="4" customFormat="false" ht="15" hidden="false" customHeight="false" outlineLevel="0" collapsed="false">
      <c r="A4" s="17" t="s">
        <v>169</v>
      </c>
      <c r="B4" s="17" t="s">
        <v>62</v>
      </c>
      <c r="C4" s="18" t="n">
        <f aca="false">Invoer!C4</f>
        <v>1</v>
      </c>
      <c r="D4" s="18" t="n">
        <f aca="false">Invoer!D4</f>
        <v>2</v>
      </c>
      <c r="E4" s="18" t="n">
        <f aca="false">Invoer!E4</f>
        <v>3</v>
      </c>
      <c r="F4" s="18" t="n">
        <f aca="false">Invoer!F4</f>
        <v>4</v>
      </c>
      <c r="G4" s="18" t="n">
        <f aca="false">Invoer!G4</f>
        <v>5</v>
      </c>
      <c r="H4" s="18" t="n">
        <f aca="false">Invoer!H4</f>
        <v>6</v>
      </c>
      <c r="I4" s="18" t="n">
        <f aca="false">Invoer!I4</f>
        <v>7</v>
      </c>
      <c r="J4" s="18" t="n">
        <f aca="false">Invoer!J4</f>
        <v>8</v>
      </c>
      <c r="K4" s="18" t="n">
        <f aca="false">Invoer!K4</f>
        <v>9</v>
      </c>
      <c r="L4" s="18" t="n">
        <f aca="false">Invoer!L4</f>
        <v>10</v>
      </c>
      <c r="M4" s="18" t="n">
        <f aca="false">Invoer!M4</f>
        <v>11</v>
      </c>
    </row>
    <row r="5" customFormat="false" ht="15" hidden="false" customHeight="false" outlineLevel="0" collapsed="false">
      <c r="A5" s="7" t="s">
        <v>288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</row>
    <row r="6" customFormat="false" ht="15" hidden="false" customHeight="false" outlineLevel="0" collapsed="false">
      <c r="A6" s="9" t="s">
        <v>289</v>
      </c>
      <c r="B6" s="19" t="s">
        <v>101</v>
      </c>
      <c r="C6" s="29" t="n">
        <f aca="false">Berekening!C9</f>
        <v>225000</v>
      </c>
      <c r="D6" s="29" t="n">
        <f aca="false">Berekening!D9</f>
        <v>225000</v>
      </c>
      <c r="E6" s="29" t="n">
        <f aca="false">Berekening!E9</f>
        <v>225000</v>
      </c>
      <c r="F6" s="29" t="n">
        <f aca="false">Berekening!F9</f>
        <v>225000</v>
      </c>
      <c r="G6" s="29" t="n">
        <f aca="false">Berekening!G9</f>
        <v>60000</v>
      </c>
      <c r="H6" s="29" t="n">
        <f aca="false">Berekening!H9</f>
        <v>150000</v>
      </c>
      <c r="I6" s="29" t="n">
        <f aca="false">Berekening!I9</f>
        <v>225000</v>
      </c>
      <c r="J6" s="29" t="n">
        <f aca="false">Berekening!J9</f>
        <v>225000</v>
      </c>
      <c r="K6" s="29" t="n">
        <f aca="false">Berekening!K9</f>
        <v>225000</v>
      </c>
      <c r="L6" s="29" t="n">
        <f aca="false">Berekening!L9</f>
        <v>225000</v>
      </c>
      <c r="M6" s="29" t="n">
        <f aca="false">Berekening!M9</f>
        <v>225000</v>
      </c>
    </row>
    <row r="7" customFormat="false" ht="15" hidden="false" customHeight="false" outlineLevel="0" collapsed="false">
      <c r="A7" s="9" t="s">
        <v>290</v>
      </c>
      <c r="B7" s="19" t="s">
        <v>101</v>
      </c>
      <c r="C7" s="29" t="n">
        <f aca="false">Berekening!C87+Berekening!C86</f>
        <v>10000</v>
      </c>
      <c r="D7" s="29" t="n">
        <f aca="false">Berekening!D87+Berekening!D86</f>
        <v>10000</v>
      </c>
      <c r="E7" s="29" t="n">
        <f aca="false">Berekening!E87+Berekening!E86</f>
        <v>10000</v>
      </c>
      <c r="F7" s="29" t="n">
        <f aca="false">Berekening!F87+Berekening!F86</f>
        <v>10000</v>
      </c>
      <c r="G7" s="29" t="n">
        <f aca="false">Berekening!G87+Berekening!G86</f>
        <v>22000</v>
      </c>
      <c r="H7" s="29" t="n">
        <f aca="false">Berekening!H87+Berekening!H86</f>
        <v>10000</v>
      </c>
      <c r="I7" s="29" t="n">
        <f aca="false">Berekening!I87+Berekening!I86</f>
        <v>10000</v>
      </c>
      <c r="J7" s="29" t="n">
        <f aca="false">Berekening!J87+Berekening!J86</f>
        <v>10000</v>
      </c>
      <c r="K7" s="29" t="n">
        <f aca="false">Berekening!K87+Berekening!K86</f>
        <v>0</v>
      </c>
      <c r="L7" s="29" t="n">
        <f aca="false">Berekening!L87+Berekening!L86</f>
        <v>10000</v>
      </c>
      <c r="M7" s="29" t="n">
        <f aca="false">Berekening!M87+Berekening!M86</f>
        <v>10000</v>
      </c>
    </row>
    <row r="8" customFormat="false" ht="15" hidden="false" customHeight="false" outlineLevel="0" collapsed="false">
      <c r="A8" s="9" t="s">
        <v>291</v>
      </c>
      <c r="B8" s="19" t="s">
        <v>157</v>
      </c>
      <c r="C8" s="38" t="n">
        <f aca="false">INDEX(T1_Tabel,Berekening!C80,1)+(Berekening!C79-INDEX(T1_Inkomen,Berekening!C80))/(INDEX(T1_Inkomen,Berekening!C80+1)-INDEX(T1_Inkomen,Berekening!C80))*(INDEX(T1_Tabel,Berekening!C80+1,1)-INDEX(T1_Tabel,Berekening!C80,1))</f>
        <v>0.222</v>
      </c>
      <c r="D8" s="38" t="n">
        <f aca="false">INDEX(T1_Tabel,Berekening!D80,1)+(Berekening!D79-INDEX(T1_Inkomen,Berekening!D80))/(INDEX(T1_Inkomen,Berekening!D80+1)-INDEX(T1_Inkomen,Berekening!D80))*(INDEX(T1_Tabel,Berekening!D80+1,1)-INDEX(T1_Tabel,Berekening!D80,1))</f>
        <v>0.222</v>
      </c>
      <c r="E8" s="38" t="n">
        <f aca="false">INDEX(T1_Tabel,Berekening!E80,1)+(Berekening!E79-INDEX(T1_Inkomen,Berekening!E80))/(INDEX(T1_Inkomen,Berekening!E80+1)-INDEX(T1_Inkomen,Berekening!E80))*(INDEX(T1_Tabel,Berekening!E80+1,1)-INDEX(T1_Tabel,Berekening!E80,1))</f>
        <v>0.222</v>
      </c>
      <c r="F8" s="38" t="n">
        <f aca="false">INDEX(T1_Tabel,Berekening!F80,1)+(Berekening!F79-INDEX(T1_Inkomen,Berekening!F80))/(INDEX(T1_Inkomen,Berekening!F80+1)-INDEX(T1_Inkomen,Berekening!F80))*(INDEX(T1_Tabel,Berekening!F80+1,1)-INDEX(T1_Tabel,Berekening!F80,1))</f>
        <v>0.222</v>
      </c>
      <c r="G8" s="38" t="n">
        <f aca="false">INDEX(T1_Tabel,Berekening!G80,1)+(Berekening!G79-INDEX(T1_Inkomen,Berekening!G80))/(INDEX(T1_Inkomen,Berekening!G80+1)-INDEX(T1_Inkomen,Berekening!G80))*(INDEX(T1_Tabel,Berekening!G80+1,1)-INDEX(T1_Tabel,Berekening!G80,1))</f>
        <v>0.177</v>
      </c>
      <c r="H8" s="38" t="n">
        <f aca="false">INDEX(T1_Tabel,Berekening!H80,1)+(Berekening!H79-INDEX(T1_Inkomen,Berekening!H80))/(INDEX(T1_Inkomen,Berekening!H80+1)-INDEX(T1_Inkomen,Berekening!H80))*(INDEX(T1_Tabel,Berekening!H80+1,1)-INDEX(T1_Tabel,Berekening!H80,1))</f>
        <v>0.222</v>
      </c>
      <c r="I8" s="38" t="n">
        <f aca="false">INDEX(T1_Tabel,Berekening!I80,1)+(Berekening!I79-INDEX(T1_Inkomen,Berekening!I80))/(INDEX(T1_Inkomen,Berekening!I80+1)-INDEX(T1_Inkomen,Berekening!I80))*(INDEX(T1_Tabel,Berekening!I80+1,1)-INDEX(T1_Tabel,Berekening!I80,1))</f>
        <v>0.222</v>
      </c>
      <c r="J8" s="38" t="n">
        <f aca="false">INDEX(T1_Tabel,Berekening!J80,1)+(Berekening!J79-INDEX(T1_Inkomen,Berekening!J80))/(INDEX(T1_Inkomen,Berekening!J80+1)-INDEX(T1_Inkomen,Berekening!J80))*(INDEX(T1_Tabel,Berekening!J80+1,1)-INDEX(T1_Tabel,Berekening!J80,1))</f>
        <v>0.222</v>
      </c>
      <c r="K8" s="38" t="n">
        <f aca="false">INDEX(T1_Tabel,Berekening!K80,1)+(Berekening!K79-INDEX(T1_Inkomen,Berekening!K80))/(INDEX(T1_Inkomen,Berekening!K80+1)-INDEX(T1_Inkomen,Berekening!K80))*(INDEX(T1_Tabel,Berekening!K80+1,1)-INDEX(T1_Tabel,Berekening!K80,1))</f>
        <v>0.222</v>
      </c>
      <c r="L8" s="38" t="n">
        <f aca="false">INDEX(T1_Tabel,Berekening!L80,1)+(Berekening!L79-INDEX(T1_Inkomen,Berekening!L80))/(INDEX(T1_Inkomen,Berekening!L80+1)-INDEX(T1_Inkomen,Berekening!L80))*(INDEX(T1_Tabel,Berekening!L80+1,1)-INDEX(T1_Tabel,Berekening!L80,1))</f>
        <v>0.222</v>
      </c>
      <c r="M8" s="38" t="n">
        <f aca="false">INDEX(T1_Tabel,Berekening!M80,1)+(Berekening!M79-INDEX(T1_Inkomen,Berekening!M80))/(INDEX(T1_Inkomen,Berekening!M80+1)-INDEX(T1_Inkomen,Berekening!M80))*(INDEX(T1_Tabel,Berekening!M80+1,1)-INDEX(T1_Tabel,Berekening!M80,1))</f>
        <v>0.222</v>
      </c>
    </row>
    <row r="9" customFormat="false" ht="15" hidden="false" customHeight="false" outlineLevel="0" collapsed="false">
      <c r="A9" s="9" t="s">
        <v>292</v>
      </c>
      <c r="B9" s="19" t="s">
        <v>101</v>
      </c>
      <c r="C9" s="29" t="n">
        <f aca="false">MAX(0,(C8*C6/12-Berekening!C18-Berekening!C44)*Berekening!C11-Berekening!C75+C7)</f>
        <v>140141.648879362</v>
      </c>
      <c r="D9" s="29" t="n">
        <f aca="false">MAX(0,(D8*D6/12-Berekening!D18-Berekening!D44)*Berekening!D11-Berekening!D75+D7)</f>
        <v>169193.200833171</v>
      </c>
      <c r="E9" s="29" t="n">
        <f aca="false">MAX(0,(E8*E6/12-Berekening!E18-Berekening!E44)*Berekening!E11-Berekening!E75+E7)</f>
        <v>17494.105540827</v>
      </c>
      <c r="F9" s="29" t="n">
        <f aca="false">MAX(0,(F8*F6/12-Berekening!F18-Berekening!F44)*Berekening!F11-Berekening!F75+F7)</f>
        <v>135587.675388946</v>
      </c>
      <c r="G9" s="29" t="n">
        <f aca="false">MAX(0,(G8*G6/12-Berekening!G18-Berekening!G44)*Berekening!G11-Berekening!G75+G7)</f>
        <v>192837.242588019</v>
      </c>
      <c r="H9" s="29" t="n">
        <f aca="false">MAX(0,(H8*H6/12-Berekening!H18-Berekening!H44)*Berekening!H11-Berekening!H75+H7)</f>
        <v>515562.416201156</v>
      </c>
      <c r="I9" s="29" t="n">
        <f aca="false">MAX(0,(I8*I6/12-Berekening!I18-Berekening!I44)*Berekening!I11-Berekening!I75+I7)</f>
        <v>692913.555653047</v>
      </c>
      <c r="J9" s="29" t="n">
        <f aca="false">MAX(0,(J8*J6/12-Berekening!J18-Berekening!J44)*Berekening!J11-Berekening!J75+J7)</f>
        <v>177427.718505005</v>
      </c>
      <c r="K9" s="29" t="n">
        <f aca="false">MAX(0,(K8*K6/12-Berekening!K18-Berekening!K44)*Berekening!K11-Berekening!K75+K7)</f>
        <v>0</v>
      </c>
      <c r="L9" s="29" t="n">
        <f aca="false">MAX(0,(L8*L6/12-Berekening!L18-Berekening!L44)*Berekening!L11-Berekening!L75+L7)</f>
        <v>0</v>
      </c>
      <c r="M9" s="29" t="n">
        <f aca="false">MAX(0,(M8*M6/12-Berekening!M18-Berekening!M44)*Berekening!M11-Berekening!M75+M7)</f>
        <v>140141.648879362</v>
      </c>
    </row>
    <row r="10" customFormat="false" ht="15" hidden="false" customHeight="false" outlineLevel="0" collapsed="false">
      <c r="A10" s="9" t="s">
        <v>293</v>
      </c>
      <c r="B10" s="19" t="s">
        <v>101</v>
      </c>
      <c r="C10" s="29" t="n">
        <f aca="false">MAX(0,IF((INDEX(T1_Rente,1)+0.000005)&gt;Berekening!C10,(Berekening!C45-(INDEX(T1_Rente,1)+0.000005)*Berekening!C46)/(360*((INDEX(T1_Rente,1)+0.000005)-Berekening!C10)),IF((INDEX(T1_Rente,1)+0.000005)=Berekening!C10,IF(Berekening!C45-(INDEX(T1_Rente,1)+0.000005)*Berekening!C46&lt;=0,-1000000000000,1000000000000),-1000000000000)))</f>
        <v>0</v>
      </c>
      <c r="D10" s="29" t="n">
        <f aca="false">MAX(0,IF((INDEX(T1_Rente,1)+0.000005)&gt;Berekening!D10,(Berekening!D45-(INDEX(T1_Rente,1)+0.000005)*Berekening!D46)/(360*((INDEX(T1_Rente,1)+0.000005)-Berekening!D10)),IF((INDEX(T1_Rente,1)+0.000005)=Berekening!D10,IF(Berekening!D45-(INDEX(T1_Rente,1)+0.000005)*Berekening!D46&lt;=0,-1000000000000,1000000000000),-1000000000000)))</f>
        <v>0</v>
      </c>
      <c r="E10" s="29" t="n">
        <f aca="false">MAX(0,IF((INDEX(T1_Rente,1)+0.000005)&gt;Berekening!E10,(Berekening!E45-(INDEX(T1_Rente,1)+0.000005)*Berekening!E46)/(360*((INDEX(T1_Rente,1)+0.000005)-Berekening!E10)),IF((INDEX(T1_Rente,1)+0.000005)=Berekening!E10,IF(Berekening!E45-(INDEX(T1_Rente,1)+0.000005)*Berekening!E46&lt;=0,-1000000000000,1000000000000),-1000000000000)))</f>
        <v>0</v>
      </c>
      <c r="F10" s="29" t="n">
        <f aca="false">MAX(0,IF((INDEX(T1_Rente,1)+0.000005)&gt;Berekening!F10,(Berekening!F45-(INDEX(T1_Rente,1)+0.000005)*Berekening!F46)/(360*((INDEX(T1_Rente,1)+0.000005)-Berekening!F10)),IF((INDEX(T1_Rente,1)+0.000005)=Berekening!F10,IF(Berekening!F45-(INDEX(T1_Rente,1)+0.000005)*Berekening!F46&lt;=0,-1000000000000,1000000000000),-1000000000000)))</f>
        <v>0</v>
      </c>
      <c r="G10" s="29" t="n">
        <f aca="false">MAX(0,IF((INDEX(T1_Rente,1)+0.000005)&gt;Berekening!G10,(Berekening!G45-(INDEX(T1_Rente,1)+0.000005)*Berekening!G46)/(360*((INDEX(T1_Rente,1)+0.000005)-Berekening!G10)),IF((INDEX(T1_Rente,1)+0.000005)=Berekening!G10,IF(Berekening!G45-(INDEX(T1_Rente,1)+0.000005)*Berekening!G46&lt;=0,-1000000000000,1000000000000),-1000000000000)))</f>
        <v>0</v>
      </c>
      <c r="H10" s="29" t="n">
        <f aca="false">MAX(0,IF((INDEX(T1_Rente,1)+0.000005)&gt;Berekening!H10,(Berekening!H45-(INDEX(T1_Rente,1)+0.000005)*Berekening!H46)/(360*((INDEX(T1_Rente,1)+0.000005)-Berekening!H10)),IF((INDEX(T1_Rente,1)+0.000005)=Berekening!H10,IF(Berekening!H45-(INDEX(T1_Rente,1)+0.000005)*Berekening!H46&lt;=0,-1000000000000,1000000000000),-1000000000000)))</f>
        <v>0</v>
      </c>
      <c r="I10" s="29" t="n">
        <f aca="false">MAX(0,IF((INDEX(T1_Rente,1)+0.000005)&gt;Berekening!I10,(Berekening!I45-(INDEX(T1_Rente,1)+0.000005)*Berekening!I46)/(360*((INDEX(T1_Rente,1)+0.000005)-Berekening!I10)),IF((INDEX(T1_Rente,1)+0.000005)=Berekening!I10,IF(Berekening!I45-(INDEX(T1_Rente,1)+0.000005)*Berekening!I46&lt;=0,-1000000000000,1000000000000),-1000000000000)))</f>
        <v>0</v>
      </c>
      <c r="J10" s="29" t="n">
        <f aca="false">MAX(0,IF((INDEX(T1_Rente,1)+0.000005)&gt;Berekening!J10,(Berekening!J45-(INDEX(T1_Rente,1)+0.000005)*Berekening!J46)/(360*((INDEX(T1_Rente,1)+0.000005)-Berekening!J10)),IF((INDEX(T1_Rente,1)+0.000005)=Berekening!J10,IF(Berekening!J45-(INDEX(T1_Rente,1)+0.000005)*Berekening!J46&lt;=0,-1000000000000,1000000000000),-1000000000000)))</f>
        <v>0</v>
      </c>
      <c r="K10" s="29" t="n">
        <f aca="false">MAX(0,IF((INDEX(T1_Rente,1)+0.000005)&gt;Berekening!K10,(Berekening!K45-(INDEX(T1_Rente,1)+0.000005)*Berekening!K46)/(360*((INDEX(T1_Rente,1)+0.000005)-Berekening!K10)),IF((INDEX(T1_Rente,1)+0.000005)=Berekening!K10,IF(Berekening!K45-(INDEX(T1_Rente,1)+0.000005)*Berekening!K46&lt;=0,-1000000000000,1000000000000),-1000000000000)))</f>
        <v>0</v>
      </c>
      <c r="L10" s="29" t="n">
        <f aca="false">MAX(0,IF((INDEX(T1_Rente,1)+0.000005)&gt;Berekening!L10,(Berekening!L45-(INDEX(T1_Rente,1)+0.000005)*Berekening!L46)/(360*((INDEX(T1_Rente,1)+0.000005)-Berekening!L10)),IF((INDEX(T1_Rente,1)+0.000005)=Berekening!L10,IF(Berekening!L45-(INDEX(T1_Rente,1)+0.000005)*Berekening!L46&lt;=0,-1000000000000,1000000000000),-1000000000000)))</f>
        <v>0</v>
      </c>
      <c r="M10" s="29" t="n">
        <f aca="false">MAX(0,IF((INDEX(T1_Rente,1)+0.000005)&gt;Berekening!M10,(Berekening!M45-(INDEX(T1_Rente,1)+0.000005)*Berekening!M46)/(360*((INDEX(T1_Rente,1)+0.000005)-Berekening!M10)),IF((INDEX(T1_Rente,1)+0.000005)=Berekening!M10,IF(Berekening!M45-(INDEX(T1_Rente,1)+0.000005)*Berekening!M46&lt;=0,-1000000000000,1000000000000),-1000000000000)))</f>
        <v>0</v>
      </c>
    </row>
    <row r="11" customFormat="false" ht="15" hidden="false" customHeight="false" outlineLevel="0" collapsed="false">
      <c r="A11" s="9" t="s">
        <v>294</v>
      </c>
      <c r="B11" s="19" t="s">
        <v>101</v>
      </c>
      <c r="C11" s="29" t="n">
        <f aca="false">MIN(1000000000000,IF((INDEX(T1_Rente,1)+0.000005)&lt;Berekening!C10,(Berekening!C45-(INDEX(T1_Rente,1)+0.000005)*Berekening!C46)/(360*((INDEX(T1_Rente,1)+0.000005)-Berekening!C10)),1000000000000))</f>
        <v>-278643.491193291</v>
      </c>
      <c r="D11" s="29" t="n">
        <f aca="false">MIN(1000000000000,IF((INDEX(T1_Rente,1)+0.000005)&lt;Berekening!D10,(Berekening!D45-(INDEX(T1_Rente,1)+0.000005)*Berekening!D46)/(360*((INDEX(T1_Rente,1)+0.000005)-Berekening!D10)),1000000000000))</f>
        <v>-334492.744801693</v>
      </c>
      <c r="E11" s="29" t="n">
        <f aca="false">MIN(1000000000000,IF((INDEX(T1_Rente,1)+0.000005)&lt;Berekening!E10,(Berekening!E45-(INDEX(T1_Rente,1)+0.000005)*Berekening!E46)/(360*((INDEX(T1_Rente,1)+0.000005)-Berekening!E10)),1000000000000))</f>
        <v>-628525.353710926</v>
      </c>
      <c r="F11" s="29" t="n">
        <f aca="false">MIN(1000000000000,IF((INDEX(T1_Rente,1)+0.000005)&lt;Berekening!F10,(Berekening!F45-(INDEX(T1_Rente,1)+0.000005)*Berekening!F46)/(360*((INDEX(T1_Rente,1)+0.000005)-Berekening!F10)),1000000000000))</f>
        <v>-253960.112919274</v>
      </c>
      <c r="G11" s="29" t="n">
        <f aca="false">MIN(1000000000000,IF((INDEX(T1_Rente,1)+0.000005)&lt;Berekening!G10,(Berekening!G45-(INDEX(T1_Rente,1)+0.000005)*Berekening!G46)/(360*((INDEX(T1_Rente,1)+0.000005)-Berekening!G10)),1000000000000))</f>
        <v>-0</v>
      </c>
      <c r="H11" s="29" t="n">
        <f aca="false">MIN(1000000000000,IF((INDEX(T1_Rente,1)+0.000005)&lt;Berekening!H10,(Berekening!H45-(INDEX(T1_Rente,1)+0.000005)*Berekening!H46)/(360*((INDEX(T1_Rente,1)+0.000005)-Berekening!H10)),1000000000000))</f>
        <v>-0</v>
      </c>
      <c r="I11" s="29" t="n">
        <f aca="false">MIN(1000000000000,IF((INDEX(T1_Rente,1)+0.000005)&lt;Berekening!I10,(Berekening!I45-(INDEX(T1_Rente,1)+0.000005)*Berekening!I46)/(360*((INDEX(T1_Rente,1)+0.000005)-Berekening!I10)),1000000000000))</f>
        <v>-0</v>
      </c>
      <c r="J11" s="29" t="n">
        <f aca="false">MIN(1000000000000,IF((INDEX(T1_Rente,1)+0.000005)&lt;Berekening!J10,(Berekening!J45-(INDEX(T1_Rente,1)+0.000005)*Berekening!J46)/(360*((INDEX(T1_Rente,1)+0.000005)-Berekening!J10)),1000000000000))</f>
        <v>-278643.491193291</v>
      </c>
      <c r="K11" s="29" t="n">
        <f aca="false">MIN(1000000000000,IF((INDEX(T1_Rente,1)+0.000005)&lt;Berekening!K10,(Berekening!K45-(INDEX(T1_Rente,1)+0.000005)*Berekening!K46)/(360*((INDEX(T1_Rente,1)+0.000005)-Berekening!K10)),1000000000000))</f>
        <v>-520557.558656007</v>
      </c>
      <c r="L11" s="29" t="n">
        <f aca="false">MIN(1000000000000,IF((INDEX(T1_Rente,1)+0.000005)&lt;Berekening!L10,(Berekening!L45-(INDEX(T1_Rente,1)+0.000005)*Berekening!L46)/(360*((INDEX(T1_Rente,1)+0.000005)-Berekening!L10)),1000000000000))</f>
        <v>-278643.491193291</v>
      </c>
      <c r="M11" s="29" t="n">
        <f aca="false">MIN(1000000000000,IF((INDEX(T1_Rente,1)+0.000005)&lt;Berekening!M10,(Berekening!M45-(INDEX(T1_Rente,1)+0.000005)*Berekening!M46)/(360*((INDEX(T1_Rente,1)+0.000005)-Berekening!M10)),1000000000000))</f>
        <v>-278643.491193291</v>
      </c>
    </row>
    <row r="12" customFormat="false" ht="15" hidden="false" customHeight="false" outlineLevel="0" collapsed="false">
      <c r="A12" s="9" t="s">
        <v>295</v>
      </c>
      <c r="B12" s="19" t="s">
        <v>101</v>
      </c>
      <c r="C12" s="29" t="n">
        <f aca="false">IF(C10&gt;C11,-1,IF(C9&lt;C10-0.000000001,-1,IF(C9&gt;C11,MAX(C10,C11-1),C9)))</f>
        <v>-1</v>
      </c>
      <c r="D12" s="29" t="n">
        <f aca="false">IF(D10&gt;D11,-1,IF(D9&lt;D10-0.000000001,-1,IF(D9&gt;D11,MAX(D10,D11-1),D9)))</f>
        <v>-1</v>
      </c>
      <c r="E12" s="29" t="n">
        <f aca="false">IF(E10&gt;E11,-1,IF(E9&lt;E10-0.000000001,-1,IF(E9&gt;E11,MAX(E10,E11-1),E9)))</f>
        <v>-1</v>
      </c>
      <c r="F12" s="29" t="n">
        <f aca="false">IF(F10&gt;F11,-1,IF(F9&lt;F10-0.000000001,-1,IF(F9&gt;F11,MAX(F10,F11-1),F9)))</f>
        <v>-1</v>
      </c>
      <c r="G12" s="29" t="n">
        <f aca="false">IF(G10&gt;G11,-1,IF(G9&lt;G10-0.000000001,-1,IF(G9&gt;G11,MAX(G10,G11-1),G9)))</f>
        <v>0</v>
      </c>
      <c r="H12" s="29" t="n">
        <f aca="false">IF(H10&gt;H11,-1,IF(H9&lt;H10-0.000000001,-1,IF(H9&gt;H11,MAX(H10,H11-1),H9)))</f>
        <v>0</v>
      </c>
      <c r="I12" s="29" t="n">
        <f aca="false">IF(I10&gt;I11,-1,IF(I9&lt;I10-0.000000001,-1,IF(I9&gt;I11,MAX(I10,I11-1),I9)))</f>
        <v>0</v>
      </c>
      <c r="J12" s="29" t="n">
        <f aca="false">IF(J10&gt;J11,-1,IF(J9&lt;J10-0.000000001,-1,IF(J9&gt;J11,MAX(J10,J11-1),J9)))</f>
        <v>-1</v>
      </c>
      <c r="K12" s="29" t="n">
        <f aca="false">IF(K10&gt;K11,-1,IF(K9&lt;K10-0.000000001,-1,IF(K9&gt;K11,MAX(K10,K11-1),K9)))</f>
        <v>-1</v>
      </c>
      <c r="L12" s="29" t="n">
        <f aca="false">IF(L10&gt;L11,-1,IF(L9&lt;L10-0.000000001,-1,IF(L9&gt;L11,MAX(L10,L11-1),L9)))</f>
        <v>-1</v>
      </c>
      <c r="M12" s="29" t="n">
        <f aca="false">IF(M10&gt;M11,-1,IF(M9&lt;M10-0.000000001,-1,IF(M9&gt;M11,MAX(M10,M11-1),M9)))</f>
        <v>-1</v>
      </c>
    </row>
    <row r="13" customFormat="false" ht="15" hidden="false" customHeight="false" outlineLevel="0" collapsed="false">
      <c r="A13" s="9" t="s">
        <v>296</v>
      </c>
      <c r="B13" s="19" t="s">
        <v>157</v>
      </c>
      <c r="C13" s="38" t="n">
        <f aca="false">INDEX(T1_Tabel,Berekening!C80,2)+(Berekening!C79-INDEX(T1_Inkomen,Berekening!C80))/(INDEX(T1_Inkomen,Berekening!C80+1)-INDEX(T1_Inkomen,Berekening!C80))*(INDEX(T1_Tabel,Berekening!C80+1,2)-INDEX(T1_Tabel,Berekening!C80,2))</f>
        <v>0.233</v>
      </c>
      <c r="D13" s="38" t="n">
        <f aca="false">INDEX(T1_Tabel,Berekening!D80,2)+(Berekening!D79-INDEX(T1_Inkomen,Berekening!D80))/(INDEX(T1_Inkomen,Berekening!D80+1)-INDEX(T1_Inkomen,Berekening!D80))*(INDEX(T1_Tabel,Berekening!D80+1,2)-INDEX(T1_Tabel,Berekening!D80,2))</f>
        <v>0.233</v>
      </c>
      <c r="E13" s="38" t="n">
        <f aca="false">INDEX(T1_Tabel,Berekening!E80,2)+(Berekening!E79-INDEX(T1_Inkomen,Berekening!E80))/(INDEX(T1_Inkomen,Berekening!E80+1)-INDEX(T1_Inkomen,Berekening!E80))*(INDEX(T1_Tabel,Berekening!E80+1,2)-INDEX(T1_Tabel,Berekening!E80,2))</f>
        <v>0.233</v>
      </c>
      <c r="F13" s="38" t="n">
        <f aca="false">INDEX(T1_Tabel,Berekening!F80,2)+(Berekening!F79-INDEX(T1_Inkomen,Berekening!F80))/(INDEX(T1_Inkomen,Berekening!F80+1)-INDEX(T1_Inkomen,Berekening!F80))*(INDEX(T1_Tabel,Berekening!F80+1,2)-INDEX(T1_Tabel,Berekening!F80,2))</f>
        <v>0.233</v>
      </c>
      <c r="G13" s="38" t="n">
        <f aca="false">INDEX(T1_Tabel,Berekening!G80,2)+(Berekening!G79-INDEX(T1_Inkomen,Berekening!G80))/(INDEX(T1_Inkomen,Berekening!G80+1)-INDEX(T1_Inkomen,Berekening!G80))*(INDEX(T1_Tabel,Berekening!G80+1,2)-INDEX(T1_Tabel,Berekening!G80,2))</f>
        <v>0.187</v>
      </c>
      <c r="H13" s="38" t="n">
        <f aca="false">INDEX(T1_Tabel,Berekening!H80,2)+(Berekening!H79-INDEX(T1_Inkomen,Berekening!H80))/(INDEX(T1_Inkomen,Berekening!H80+1)-INDEX(T1_Inkomen,Berekening!H80))*(INDEX(T1_Tabel,Berekening!H80+1,2)-INDEX(T1_Tabel,Berekening!H80,2))</f>
        <v>0.233</v>
      </c>
      <c r="I13" s="38" t="n">
        <f aca="false">INDEX(T1_Tabel,Berekening!I80,2)+(Berekening!I79-INDEX(T1_Inkomen,Berekening!I80))/(INDEX(T1_Inkomen,Berekening!I80+1)-INDEX(T1_Inkomen,Berekening!I80))*(INDEX(T1_Tabel,Berekening!I80+1,2)-INDEX(T1_Tabel,Berekening!I80,2))</f>
        <v>0.233</v>
      </c>
      <c r="J13" s="38" t="n">
        <f aca="false">INDEX(T1_Tabel,Berekening!J80,2)+(Berekening!J79-INDEX(T1_Inkomen,Berekening!J80))/(INDEX(T1_Inkomen,Berekening!J80+1)-INDEX(T1_Inkomen,Berekening!J80))*(INDEX(T1_Tabel,Berekening!J80+1,2)-INDEX(T1_Tabel,Berekening!J80,2))</f>
        <v>0.233</v>
      </c>
      <c r="K13" s="38" t="n">
        <f aca="false">INDEX(T1_Tabel,Berekening!K80,2)+(Berekening!K79-INDEX(T1_Inkomen,Berekening!K80))/(INDEX(T1_Inkomen,Berekening!K80+1)-INDEX(T1_Inkomen,Berekening!K80))*(INDEX(T1_Tabel,Berekening!K80+1,2)-INDEX(T1_Tabel,Berekening!K80,2))</f>
        <v>0.233</v>
      </c>
      <c r="L13" s="38" t="n">
        <f aca="false">INDEX(T1_Tabel,Berekening!L80,2)+(Berekening!L79-INDEX(T1_Inkomen,Berekening!L80))/(INDEX(T1_Inkomen,Berekening!L80+1)-INDEX(T1_Inkomen,Berekening!L80))*(INDEX(T1_Tabel,Berekening!L80+1,2)-INDEX(T1_Tabel,Berekening!L80,2))</f>
        <v>0.233</v>
      </c>
      <c r="M13" s="38" t="n">
        <f aca="false">INDEX(T1_Tabel,Berekening!M80,2)+(Berekening!M79-INDEX(T1_Inkomen,Berekening!M80))/(INDEX(T1_Inkomen,Berekening!M80+1)-INDEX(T1_Inkomen,Berekening!M80))*(INDEX(T1_Tabel,Berekening!M80+1,2)-INDEX(T1_Tabel,Berekening!M80,2))</f>
        <v>0.233</v>
      </c>
    </row>
    <row r="14" customFormat="false" ht="15" hidden="false" customHeight="false" outlineLevel="0" collapsed="false">
      <c r="A14" s="9" t="s">
        <v>297</v>
      </c>
      <c r="B14" s="19" t="s">
        <v>101</v>
      </c>
      <c r="C14" s="29" t="n">
        <f aca="false">MAX(0,(C13*C6/12-Berekening!C18-Berekening!C44)*Berekening!C11-Berekening!C75+C7)</f>
        <v>179955.413041824</v>
      </c>
      <c r="D14" s="29" t="n">
        <f aca="false">MAX(0,(D13*D6/12-Berekening!D18-Berekening!D44)*Berekening!D11-Berekening!D75+D7)</f>
        <v>209006.964995633</v>
      </c>
      <c r="E14" s="29" t="n">
        <f aca="false">MAX(0,(E13*E6/12-Berekening!E18-Berekening!E44)*Berekening!E11-Berekening!E75+E7)</f>
        <v>57307.8697032892</v>
      </c>
      <c r="F14" s="29" t="n">
        <f aca="false">MAX(0,(F13*F6/12-Berekening!F18-Berekening!F44)*Berekening!F11-Berekening!F75+F7)</f>
        <v>174008.258904699</v>
      </c>
      <c r="G14" s="29" t="n">
        <f aca="false">MAX(0,(G13*G6/12-Berekening!G18-Berekening!G44)*Berekening!G11-Berekening!G75+G7)</f>
        <v>202489.064203162</v>
      </c>
      <c r="H14" s="29" t="n">
        <f aca="false">MAX(0,(H13*H6/12-Berekening!H18-Berekening!H44)*Berekening!H11-Berekening!H75+H7)</f>
        <v>542104.925642797</v>
      </c>
      <c r="I14" s="29" t="n">
        <f aca="false">MAX(0,(I13*I6/12-Berekening!I18-Berekening!I44)*Berekening!I11-Berekening!I75+I7)</f>
        <v>732727.31981551</v>
      </c>
      <c r="J14" s="29" t="n">
        <f aca="false">MAX(0,(J13*J6/12-Berekening!J18-Berekening!J44)*Berekening!J11-Berekening!J75+J7)</f>
        <v>217241.482667468</v>
      </c>
      <c r="K14" s="29" t="n">
        <f aca="false">MAX(0,(K13*K6/12-Berekening!K18-Berekening!K44)*Berekening!K11-Berekening!K75+K7)</f>
        <v>0</v>
      </c>
      <c r="L14" s="29" t="n">
        <f aca="false">MAX(0,(L13*L6/12-Berekening!L18-Berekening!L44)*Berekening!L11-Berekening!L75+L7)</f>
        <v>0</v>
      </c>
      <c r="M14" s="29" t="n">
        <f aca="false">MAX(0,(M13*M6/12-Berekening!M18-Berekening!M44)*Berekening!M11-Berekening!M75+M7)</f>
        <v>179955.413041824</v>
      </c>
    </row>
    <row r="15" customFormat="false" ht="15" hidden="false" customHeight="false" outlineLevel="0" collapsed="false">
      <c r="A15" s="9" t="s">
        <v>298</v>
      </c>
      <c r="B15" s="19" t="s">
        <v>101</v>
      </c>
      <c r="C15" s="29" t="n">
        <f aca="false">MAX(0,IF((INDEX(T1_Rente,2)+0.000005)&gt;Berekening!C10,(Berekening!C45-(INDEX(T1_Rente,2)+0.000005)*Berekening!C46)/(360*((INDEX(T1_Rente,2)+0.000005)-Berekening!C10)),IF((INDEX(T1_Rente,2)+0.000005)=Berekening!C10,IF(Berekening!C45-(INDEX(T1_Rente,2)+0.000005)*Berekening!C46&lt;=0,-1000000000000,1000000000000),-1000000000000)),IF((INDEX(T1_Rente,2)-0.005+0.000005)&lt;Berekening!C10,(Berekening!C45-(INDEX(T1_Rente,2)-0.005+0.000005)*Berekening!C46)/(360*((INDEX(T1_Rente,2)-0.005+0.000005)-Berekening!C10)),IF((INDEX(T1_Rente,2)-0.005+0.000005)=Berekening!C10,IF(Berekening!C45-(INDEX(T1_Rente,2)-0.005+0.000005)*Berekening!C46&gt;0,-1000000000000,1000000000000),-1000000000000)))</f>
        <v>0</v>
      </c>
      <c r="D15" s="29" t="n">
        <f aca="false">MAX(0,IF((INDEX(T1_Rente,2)+0.000005)&gt;Berekening!D10,(Berekening!D45-(INDEX(T1_Rente,2)+0.000005)*Berekening!D46)/(360*((INDEX(T1_Rente,2)+0.000005)-Berekening!D10)),IF((INDEX(T1_Rente,2)+0.000005)=Berekening!D10,IF(Berekening!D45-(INDEX(T1_Rente,2)+0.000005)*Berekening!D46&lt;=0,-1000000000000,1000000000000),-1000000000000)),IF((INDEX(T1_Rente,2)-0.005+0.000005)&lt;Berekening!D10,(Berekening!D45-(INDEX(T1_Rente,2)-0.005+0.000005)*Berekening!D46)/(360*((INDEX(T1_Rente,2)-0.005+0.000005)-Berekening!D10)),IF((INDEX(T1_Rente,2)-0.005+0.000005)=Berekening!D10,IF(Berekening!D45-(INDEX(T1_Rente,2)-0.005+0.000005)*Berekening!D46&gt;0,-1000000000000,1000000000000),-1000000000000)))</f>
        <v>0</v>
      </c>
      <c r="E15" s="29" t="n">
        <f aca="false">MAX(0,IF((INDEX(T1_Rente,2)+0.000005)&gt;Berekening!E10,(Berekening!E45-(INDEX(T1_Rente,2)+0.000005)*Berekening!E46)/(360*((INDEX(T1_Rente,2)+0.000005)-Berekening!E10)),IF((INDEX(T1_Rente,2)+0.000005)=Berekening!E10,IF(Berekening!E45-(INDEX(T1_Rente,2)+0.000005)*Berekening!E46&lt;=0,-1000000000000,1000000000000),-1000000000000)),IF((INDEX(T1_Rente,2)-0.005+0.000005)&lt;Berekening!E10,(Berekening!E45-(INDEX(T1_Rente,2)-0.005+0.000005)*Berekening!E46)/(360*((INDEX(T1_Rente,2)-0.005+0.000005)-Berekening!E10)),IF((INDEX(T1_Rente,2)-0.005+0.000005)=Berekening!E10,IF(Berekening!E45-(INDEX(T1_Rente,2)-0.005+0.000005)*Berekening!E46&gt;0,-1000000000000,1000000000000),-1000000000000)))</f>
        <v>0</v>
      </c>
      <c r="F15" s="29" t="n">
        <f aca="false">MAX(0,IF((INDEX(T1_Rente,2)+0.000005)&gt;Berekening!F10,(Berekening!F45-(INDEX(T1_Rente,2)+0.000005)*Berekening!F46)/(360*((INDEX(T1_Rente,2)+0.000005)-Berekening!F10)),IF((INDEX(T1_Rente,2)+0.000005)=Berekening!F10,IF(Berekening!F45-(INDEX(T1_Rente,2)+0.000005)*Berekening!F46&lt;=0,-1000000000000,1000000000000),-1000000000000)),IF((INDEX(T1_Rente,2)-0.005+0.000005)&lt;Berekening!F10,(Berekening!F45-(INDEX(T1_Rente,2)-0.005+0.000005)*Berekening!F46)/(360*((INDEX(T1_Rente,2)-0.005+0.000005)-Berekening!F10)),IF((INDEX(T1_Rente,2)-0.005+0.000005)=Berekening!F10,IF(Berekening!F45-(INDEX(T1_Rente,2)-0.005+0.000005)*Berekening!F46&gt;0,-1000000000000,1000000000000),-1000000000000)))</f>
        <v>0</v>
      </c>
      <c r="G15" s="29" t="n">
        <f aca="false">MAX(0,IF((INDEX(T1_Rente,2)+0.000005)&gt;Berekening!G10,(Berekening!G45-(INDEX(T1_Rente,2)+0.000005)*Berekening!G46)/(360*((INDEX(T1_Rente,2)+0.000005)-Berekening!G10)),IF((INDEX(T1_Rente,2)+0.000005)=Berekening!G10,IF(Berekening!G45-(INDEX(T1_Rente,2)+0.000005)*Berekening!G46&lt;=0,-1000000000000,1000000000000),-1000000000000)),IF((INDEX(T1_Rente,2)-0.005+0.000005)&lt;Berekening!G10,(Berekening!G45-(INDEX(T1_Rente,2)-0.005+0.000005)*Berekening!G46)/(360*((INDEX(T1_Rente,2)-0.005+0.000005)-Berekening!G10)),IF((INDEX(T1_Rente,2)-0.005+0.000005)=Berekening!G10,IF(Berekening!G45-(INDEX(T1_Rente,2)-0.005+0.000005)*Berekening!G46&gt;0,-1000000000000,1000000000000),-1000000000000)))</f>
        <v>-0</v>
      </c>
      <c r="H15" s="29" t="n">
        <f aca="false">MAX(0,IF((INDEX(T1_Rente,2)+0.000005)&gt;Berekening!H10,(Berekening!H45-(INDEX(T1_Rente,2)+0.000005)*Berekening!H46)/(360*((INDEX(T1_Rente,2)+0.000005)-Berekening!H10)),IF((INDEX(T1_Rente,2)+0.000005)=Berekening!H10,IF(Berekening!H45-(INDEX(T1_Rente,2)+0.000005)*Berekening!H46&lt;=0,-1000000000000,1000000000000),-1000000000000)),IF((INDEX(T1_Rente,2)-0.005+0.000005)&lt;Berekening!H10,(Berekening!H45-(INDEX(T1_Rente,2)-0.005+0.000005)*Berekening!H46)/(360*((INDEX(T1_Rente,2)-0.005+0.000005)-Berekening!H10)),IF((INDEX(T1_Rente,2)-0.005+0.000005)=Berekening!H10,IF(Berekening!H45-(INDEX(T1_Rente,2)-0.005+0.000005)*Berekening!H46&gt;0,-1000000000000,1000000000000),-1000000000000)))</f>
        <v>-0</v>
      </c>
      <c r="I15" s="29" t="n">
        <f aca="false">MAX(0,IF((INDEX(T1_Rente,2)+0.000005)&gt;Berekening!I10,(Berekening!I45-(INDEX(T1_Rente,2)+0.000005)*Berekening!I46)/(360*((INDEX(T1_Rente,2)+0.000005)-Berekening!I10)),IF((INDEX(T1_Rente,2)+0.000005)=Berekening!I10,IF(Berekening!I45-(INDEX(T1_Rente,2)+0.000005)*Berekening!I46&lt;=0,-1000000000000,1000000000000),-1000000000000)),IF((INDEX(T1_Rente,2)-0.005+0.000005)&lt;Berekening!I10,(Berekening!I45-(INDEX(T1_Rente,2)-0.005+0.000005)*Berekening!I46)/(360*((INDEX(T1_Rente,2)-0.005+0.000005)-Berekening!I10)),IF((INDEX(T1_Rente,2)-0.005+0.000005)=Berekening!I10,IF(Berekening!I45-(INDEX(T1_Rente,2)-0.005+0.000005)*Berekening!I46&gt;0,-1000000000000,1000000000000),-1000000000000)))</f>
        <v>-0</v>
      </c>
      <c r="J15" s="29" t="n">
        <f aca="false">MAX(0,IF((INDEX(T1_Rente,2)+0.000005)&gt;Berekening!J10,(Berekening!J45-(INDEX(T1_Rente,2)+0.000005)*Berekening!J46)/(360*((INDEX(T1_Rente,2)+0.000005)-Berekening!J10)),IF((INDEX(T1_Rente,2)+0.000005)=Berekening!J10,IF(Berekening!J45-(INDEX(T1_Rente,2)+0.000005)*Berekening!J46&lt;=0,-1000000000000,1000000000000),-1000000000000)),IF((INDEX(T1_Rente,2)-0.005+0.000005)&lt;Berekening!J10,(Berekening!J45-(INDEX(T1_Rente,2)-0.005+0.000005)*Berekening!J46)/(360*((INDEX(T1_Rente,2)-0.005+0.000005)-Berekening!J10)),IF((INDEX(T1_Rente,2)-0.005+0.000005)=Berekening!J10,IF(Berekening!J45-(INDEX(T1_Rente,2)-0.005+0.000005)*Berekening!J46&gt;0,-1000000000000,1000000000000),-1000000000000)))</f>
        <v>0</v>
      </c>
      <c r="K15" s="29" t="n">
        <f aca="false">MAX(0,IF((INDEX(T1_Rente,2)+0.000005)&gt;Berekening!K10,(Berekening!K45-(INDEX(T1_Rente,2)+0.000005)*Berekening!K46)/(360*((INDEX(T1_Rente,2)+0.000005)-Berekening!K10)),IF((INDEX(T1_Rente,2)+0.000005)=Berekening!K10,IF(Berekening!K45-(INDEX(T1_Rente,2)+0.000005)*Berekening!K46&lt;=0,-1000000000000,1000000000000),-1000000000000)),IF((INDEX(T1_Rente,2)-0.005+0.000005)&lt;Berekening!K10,(Berekening!K45-(INDEX(T1_Rente,2)-0.005+0.000005)*Berekening!K46)/(360*((INDEX(T1_Rente,2)-0.005+0.000005)-Berekening!K10)),IF((INDEX(T1_Rente,2)-0.005+0.000005)=Berekening!K10,IF(Berekening!K45-(INDEX(T1_Rente,2)-0.005+0.000005)*Berekening!K46&gt;0,-1000000000000,1000000000000),-1000000000000)))</f>
        <v>0</v>
      </c>
      <c r="L15" s="29" t="n">
        <f aca="false">MAX(0,IF((INDEX(T1_Rente,2)+0.000005)&gt;Berekening!L10,(Berekening!L45-(INDEX(T1_Rente,2)+0.000005)*Berekening!L46)/(360*((INDEX(T1_Rente,2)+0.000005)-Berekening!L10)),IF((INDEX(T1_Rente,2)+0.000005)=Berekening!L10,IF(Berekening!L45-(INDEX(T1_Rente,2)+0.000005)*Berekening!L46&lt;=0,-1000000000000,1000000000000),-1000000000000)),IF((INDEX(T1_Rente,2)-0.005+0.000005)&lt;Berekening!L10,(Berekening!L45-(INDEX(T1_Rente,2)-0.005+0.000005)*Berekening!L46)/(360*((INDEX(T1_Rente,2)-0.005+0.000005)-Berekening!L10)),IF((INDEX(T1_Rente,2)-0.005+0.000005)=Berekening!L10,IF(Berekening!L45-(INDEX(T1_Rente,2)-0.005+0.000005)*Berekening!L46&gt;0,-1000000000000,1000000000000),-1000000000000)))</f>
        <v>0</v>
      </c>
      <c r="M15" s="29" t="n">
        <f aca="false">MAX(0,IF((INDEX(T1_Rente,2)+0.000005)&gt;Berekening!M10,(Berekening!M45-(INDEX(T1_Rente,2)+0.000005)*Berekening!M46)/(360*((INDEX(T1_Rente,2)+0.000005)-Berekening!M10)),IF((INDEX(T1_Rente,2)+0.000005)=Berekening!M10,IF(Berekening!M45-(INDEX(T1_Rente,2)+0.000005)*Berekening!M46&lt;=0,-1000000000000,1000000000000),-1000000000000)),IF((INDEX(T1_Rente,2)-0.005+0.000005)&lt;Berekening!M10,(Berekening!M45-(INDEX(T1_Rente,2)-0.005+0.000005)*Berekening!M46)/(360*((INDEX(T1_Rente,2)-0.005+0.000005)-Berekening!M10)),IF((INDEX(T1_Rente,2)-0.005+0.000005)=Berekening!M10,IF(Berekening!M45-(INDEX(T1_Rente,2)-0.005+0.000005)*Berekening!M46&gt;0,-1000000000000,1000000000000),-1000000000000)))</f>
        <v>0</v>
      </c>
    </row>
    <row r="16" customFormat="false" ht="15" hidden="false" customHeight="false" outlineLevel="0" collapsed="false">
      <c r="A16" s="9" t="s">
        <v>299</v>
      </c>
      <c r="B16" s="19" t="s">
        <v>101</v>
      </c>
      <c r="C16" s="29" t="n">
        <f aca="false">MIN(1000000000000,IF((INDEX(T1_Rente,2)+0.000005)&lt;Berekening!C10,(Berekening!C45-(INDEX(T1_Rente,2)+0.000005)*Berekening!C46)/(360*((INDEX(T1_Rente,2)+0.000005)-Berekening!C10)),1000000000000),IF((INDEX(T1_Rente,2)-0.005+0.000005)&gt;Berekening!C10,(Berekening!C45-(INDEX(T1_Rente,2)-0.005+0.000005)*Berekening!C46)/(360*((INDEX(T1_Rente,2)-0.005+0.000005)-Berekening!C10)),1000000000000))</f>
        <v>-223948.469787817</v>
      </c>
      <c r="D16" s="29" t="n">
        <f aca="false">MIN(1000000000000,IF((INDEX(T1_Rente,2)+0.000005)&lt;Berekening!D10,(Berekening!D45-(INDEX(T1_Rente,2)+0.000005)*Berekening!D46)/(360*((INDEX(T1_Rente,2)+0.000005)-Berekening!D10)),1000000000000),IF((INDEX(T1_Rente,2)-0.005+0.000005)&gt;Berekening!D10,(Berekening!D45-(INDEX(T1_Rente,2)-0.005+0.000005)*Berekening!D46)/(360*((INDEX(T1_Rente,2)-0.005+0.000005)-Berekening!D10)),1000000000000))</f>
        <v>-280717.477057074</v>
      </c>
      <c r="E16" s="29" t="n">
        <f aca="false">MIN(1000000000000,IF((INDEX(T1_Rente,2)+0.000005)&lt;Berekening!E10,(Berekening!E45-(INDEX(T1_Rente,2)+0.000005)*Berekening!E46)/(360*((INDEX(T1_Rente,2)+0.000005)-Berekening!E10)),1000000000000),IF((INDEX(T1_Rente,2)-0.005+0.000005)&gt;Berekening!E10,(Berekening!E45-(INDEX(T1_Rente,2)-0.005+0.000005)*Berekening!E46)/(360*((INDEX(T1_Rente,2)-0.005+0.000005)-Berekening!E10)),1000000000000))</f>
        <v>-638876.226062217</v>
      </c>
      <c r="F16" s="29" t="n">
        <f aca="false">MIN(1000000000000,IF((INDEX(T1_Rente,2)+0.000005)&lt;Berekening!F10,(Berekening!F45-(INDEX(T1_Rente,2)+0.000005)*Berekening!F46)/(360*((INDEX(T1_Rente,2)+0.000005)-Berekening!F10)),1000000000000),IF((INDEX(T1_Rente,2)-0.005+0.000005)&gt;Berekening!F10,(Berekening!F45-(INDEX(T1_Rente,2)-0.005+0.000005)*Berekening!F46)/(360*((INDEX(T1_Rente,2)-0.005+0.000005)-Berekening!F10)),1000000000000))</f>
        <v>-200803.270376507</v>
      </c>
      <c r="G16" s="29" t="n">
        <f aca="false">MIN(1000000000000,IF((INDEX(T1_Rente,2)+0.000005)&lt;Berekening!G10,(Berekening!G45-(INDEX(T1_Rente,2)+0.000005)*Berekening!G46)/(360*((INDEX(T1_Rente,2)+0.000005)-Berekening!G10)),1000000000000),IF((INDEX(T1_Rente,2)-0.005+0.000005)&gt;Berekening!G10,(Berekening!G45-(INDEX(T1_Rente,2)-0.005+0.000005)*Berekening!G46)/(360*((INDEX(T1_Rente,2)-0.005+0.000005)-Berekening!G10)),1000000000000))</f>
        <v>-0</v>
      </c>
      <c r="H16" s="29" t="n">
        <f aca="false">MIN(1000000000000,IF((INDEX(T1_Rente,2)+0.000005)&lt;Berekening!H10,(Berekening!H45-(INDEX(T1_Rente,2)+0.000005)*Berekening!H46)/(360*((INDEX(T1_Rente,2)+0.000005)-Berekening!H10)),1000000000000),IF((INDEX(T1_Rente,2)-0.005+0.000005)&gt;Berekening!H10,(Berekening!H45-(INDEX(T1_Rente,2)-0.005+0.000005)*Berekening!H46)/(360*((INDEX(T1_Rente,2)-0.005+0.000005)-Berekening!H10)),1000000000000))</f>
        <v>-0</v>
      </c>
      <c r="I16" s="29" t="n">
        <f aca="false">MIN(1000000000000,IF((INDEX(T1_Rente,2)+0.000005)&lt;Berekening!I10,(Berekening!I45-(INDEX(T1_Rente,2)+0.000005)*Berekening!I46)/(360*((INDEX(T1_Rente,2)+0.000005)-Berekening!I10)),1000000000000),IF((INDEX(T1_Rente,2)-0.005+0.000005)&gt;Berekening!I10,(Berekening!I45-(INDEX(T1_Rente,2)-0.005+0.000005)*Berekening!I46)/(360*((INDEX(T1_Rente,2)-0.005+0.000005)-Berekening!I10)),1000000000000))</f>
        <v>-0</v>
      </c>
      <c r="J16" s="29" t="n">
        <f aca="false">MIN(1000000000000,IF((INDEX(T1_Rente,2)+0.000005)&lt;Berekening!J10,(Berekening!J45-(INDEX(T1_Rente,2)+0.000005)*Berekening!J46)/(360*((INDEX(T1_Rente,2)+0.000005)-Berekening!J10)),1000000000000),IF((INDEX(T1_Rente,2)-0.005+0.000005)&gt;Berekening!J10,(Berekening!J45-(INDEX(T1_Rente,2)-0.005+0.000005)*Berekening!J46)/(360*((INDEX(T1_Rente,2)-0.005+0.000005)-Berekening!J10)),1000000000000))</f>
        <v>-223948.469787817</v>
      </c>
      <c r="K16" s="29" t="n">
        <f aca="false">MIN(1000000000000,IF((INDEX(T1_Rente,2)+0.000005)&lt;Berekening!K10,(Berekening!K45-(INDEX(T1_Rente,2)+0.000005)*Berekening!K46)/(360*((INDEX(T1_Rente,2)+0.000005)-Berekening!K10)),1000000000000),IF((INDEX(T1_Rente,2)-0.005+0.000005)&gt;Berekening!K10,(Berekening!K45-(INDEX(T1_Rente,2)-0.005+0.000005)*Berekening!K46)/(360*((INDEX(T1_Rente,2)-0.005+0.000005)-Berekening!K10)),1000000000000))</f>
        <v>-529130.362934044</v>
      </c>
      <c r="L16" s="29" t="n">
        <f aca="false">MIN(1000000000000,IF((INDEX(T1_Rente,2)+0.000005)&lt;Berekening!L10,(Berekening!L45-(INDEX(T1_Rente,2)+0.000005)*Berekening!L46)/(360*((INDEX(T1_Rente,2)+0.000005)-Berekening!L10)),1000000000000),IF((INDEX(T1_Rente,2)-0.005+0.000005)&gt;Berekening!L10,(Berekening!L45-(INDEX(T1_Rente,2)-0.005+0.000005)*Berekening!L46)/(360*((INDEX(T1_Rente,2)-0.005+0.000005)-Berekening!L10)),1000000000000))</f>
        <v>-223948.469787817</v>
      </c>
      <c r="M16" s="29" t="n">
        <f aca="false">MIN(1000000000000,IF((INDEX(T1_Rente,2)+0.000005)&lt;Berekening!M10,(Berekening!M45-(INDEX(T1_Rente,2)+0.000005)*Berekening!M46)/(360*((INDEX(T1_Rente,2)+0.000005)-Berekening!M10)),1000000000000),IF((INDEX(T1_Rente,2)-0.005+0.000005)&gt;Berekening!M10,(Berekening!M45-(INDEX(T1_Rente,2)-0.005+0.000005)*Berekening!M46)/(360*((INDEX(T1_Rente,2)-0.005+0.000005)-Berekening!M10)),1000000000000))</f>
        <v>-223948.469787817</v>
      </c>
    </row>
    <row r="17" customFormat="false" ht="15" hidden="false" customHeight="false" outlineLevel="0" collapsed="false">
      <c r="A17" s="9" t="s">
        <v>300</v>
      </c>
      <c r="B17" s="19" t="s">
        <v>101</v>
      </c>
      <c r="C17" s="29" t="n">
        <f aca="false">IF(C15&gt;C16,-1,IF(C14&lt;C15-0.000000001,-1,IF(C14&gt;C16,MAX(C15,C16-1),C14)))</f>
        <v>-1</v>
      </c>
      <c r="D17" s="29" t="n">
        <f aca="false">IF(D15&gt;D16,-1,IF(D14&lt;D15-0.000000001,-1,IF(D14&gt;D16,MAX(D15,D16-1),D14)))</f>
        <v>-1</v>
      </c>
      <c r="E17" s="29" t="n">
        <f aca="false">IF(E15&gt;E16,-1,IF(E14&lt;E15-0.000000001,-1,IF(E14&gt;E16,MAX(E15,E16-1),E14)))</f>
        <v>-1</v>
      </c>
      <c r="F17" s="29" t="n">
        <f aca="false">IF(F15&gt;F16,-1,IF(F14&lt;F15-0.000000001,-1,IF(F14&gt;F16,MAX(F15,F16-1),F14)))</f>
        <v>-1</v>
      </c>
      <c r="G17" s="29" t="n">
        <f aca="false">IF(G15&gt;G16,-1,IF(G14&lt;G15-0.000000001,-1,IF(G14&gt;G16,MAX(G15,G16-1),G14)))</f>
        <v>-0</v>
      </c>
      <c r="H17" s="29" t="n">
        <f aca="false">IF(H15&gt;H16,-1,IF(H14&lt;H15-0.000000001,-1,IF(H14&gt;H16,MAX(H15,H16-1),H14)))</f>
        <v>-0</v>
      </c>
      <c r="I17" s="29" t="n">
        <f aca="false">IF(I15&gt;I16,-1,IF(I14&lt;I15-0.000000001,-1,IF(I14&gt;I16,MAX(I15,I16-1),I14)))</f>
        <v>-0</v>
      </c>
      <c r="J17" s="29" t="n">
        <f aca="false">IF(J15&gt;J16,-1,IF(J14&lt;J15-0.000000001,-1,IF(J14&gt;J16,MAX(J15,J16-1),J14)))</f>
        <v>-1</v>
      </c>
      <c r="K17" s="29" t="n">
        <f aca="false">IF(K15&gt;K16,-1,IF(K14&lt;K15-0.000000001,-1,IF(K14&gt;K16,MAX(K15,K16-1),K14)))</f>
        <v>-1</v>
      </c>
      <c r="L17" s="29" t="n">
        <f aca="false">IF(L15&gt;L16,-1,IF(L14&lt;L15-0.000000001,-1,IF(L14&gt;L16,MAX(L15,L16-1),L14)))</f>
        <v>-1</v>
      </c>
      <c r="M17" s="29" t="n">
        <f aca="false">IF(M15&gt;M16,-1,IF(M14&lt;M15-0.000000001,-1,IF(M14&gt;M16,MAX(M15,M16-1),M14)))</f>
        <v>-1</v>
      </c>
    </row>
    <row r="18" customFormat="false" ht="15" hidden="false" customHeight="false" outlineLevel="0" collapsed="false">
      <c r="A18" s="9" t="s">
        <v>301</v>
      </c>
      <c r="B18" s="19" t="s">
        <v>157</v>
      </c>
      <c r="C18" s="38" t="n">
        <f aca="false">INDEX(T1_Tabel,Berekening!C80,3)+(Berekening!C79-INDEX(T1_Inkomen,Berekening!C80))/(INDEX(T1_Inkomen,Berekening!C80+1)-INDEX(T1_Inkomen,Berekening!C80))*(INDEX(T1_Tabel,Berekening!C80+1,3)-INDEX(T1_Tabel,Berekening!C80,3))</f>
        <v>0.244</v>
      </c>
      <c r="D18" s="38" t="n">
        <f aca="false">INDEX(T1_Tabel,Berekening!D80,3)+(Berekening!D79-INDEX(T1_Inkomen,Berekening!D80))/(INDEX(T1_Inkomen,Berekening!D80+1)-INDEX(T1_Inkomen,Berekening!D80))*(INDEX(T1_Tabel,Berekening!D80+1,3)-INDEX(T1_Tabel,Berekening!D80,3))</f>
        <v>0.244</v>
      </c>
      <c r="E18" s="38" t="n">
        <f aca="false">INDEX(T1_Tabel,Berekening!E80,3)+(Berekening!E79-INDEX(T1_Inkomen,Berekening!E80))/(INDEX(T1_Inkomen,Berekening!E80+1)-INDEX(T1_Inkomen,Berekening!E80))*(INDEX(T1_Tabel,Berekening!E80+1,3)-INDEX(T1_Tabel,Berekening!E80,3))</f>
        <v>0.244</v>
      </c>
      <c r="F18" s="38" t="n">
        <f aca="false">INDEX(T1_Tabel,Berekening!F80,3)+(Berekening!F79-INDEX(T1_Inkomen,Berekening!F80))/(INDEX(T1_Inkomen,Berekening!F80+1)-INDEX(T1_Inkomen,Berekening!F80))*(INDEX(T1_Tabel,Berekening!F80+1,3)-INDEX(T1_Tabel,Berekening!F80,3))</f>
        <v>0.244</v>
      </c>
      <c r="G18" s="38" t="n">
        <f aca="false">INDEX(T1_Tabel,Berekening!G80,3)+(Berekening!G79-INDEX(T1_Inkomen,Berekening!G80))/(INDEX(T1_Inkomen,Berekening!G80+1)-INDEX(T1_Inkomen,Berekening!G80))*(INDEX(T1_Tabel,Berekening!G80+1,3)-INDEX(T1_Tabel,Berekening!G80,3))</f>
        <v>0.197</v>
      </c>
      <c r="H18" s="38" t="n">
        <f aca="false">INDEX(T1_Tabel,Berekening!H80,3)+(Berekening!H79-INDEX(T1_Inkomen,Berekening!H80))/(INDEX(T1_Inkomen,Berekening!H80+1)-INDEX(T1_Inkomen,Berekening!H80))*(INDEX(T1_Tabel,Berekening!H80+1,3)-INDEX(T1_Tabel,Berekening!H80,3))</f>
        <v>0.244</v>
      </c>
      <c r="I18" s="38" t="n">
        <f aca="false">INDEX(T1_Tabel,Berekening!I80,3)+(Berekening!I79-INDEX(T1_Inkomen,Berekening!I80))/(INDEX(T1_Inkomen,Berekening!I80+1)-INDEX(T1_Inkomen,Berekening!I80))*(INDEX(T1_Tabel,Berekening!I80+1,3)-INDEX(T1_Tabel,Berekening!I80,3))</f>
        <v>0.244</v>
      </c>
      <c r="J18" s="38" t="n">
        <f aca="false">INDEX(T1_Tabel,Berekening!J80,3)+(Berekening!J79-INDEX(T1_Inkomen,Berekening!J80))/(INDEX(T1_Inkomen,Berekening!J80+1)-INDEX(T1_Inkomen,Berekening!J80))*(INDEX(T1_Tabel,Berekening!J80+1,3)-INDEX(T1_Tabel,Berekening!J80,3))</f>
        <v>0.244</v>
      </c>
      <c r="K18" s="38" t="n">
        <f aca="false">INDEX(T1_Tabel,Berekening!K80,3)+(Berekening!K79-INDEX(T1_Inkomen,Berekening!K80))/(INDEX(T1_Inkomen,Berekening!K80+1)-INDEX(T1_Inkomen,Berekening!K80))*(INDEX(T1_Tabel,Berekening!K80+1,3)-INDEX(T1_Tabel,Berekening!K80,3))</f>
        <v>0.244</v>
      </c>
      <c r="L18" s="38" t="n">
        <f aca="false">INDEX(T1_Tabel,Berekening!L80,3)+(Berekening!L79-INDEX(T1_Inkomen,Berekening!L80))/(INDEX(T1_Inkomen,Berekening!L80+1)-INDEX(T1_Inkomen,Berekening!L80))*(INDEX(T1_Tabel,Berekening!L80+1,3)-INDEX(T1_Tabel,Berekening!L80,3))</f>
        <v>0.244</v>
      </c>
      <c r="M18" s="38" t="n">
        <f aca="false">INDEX(T1_Tabel,Berekening!M80,3)+(Berekening!M79-INDEX(T1_Inkomen,Berekening!M80))/(INDEX(T1_Inkomen,Berekening!M80+1)-INDEX(T1_Inkomen,Berekening!M80))*(INDEX(T1_Tabel,Berekening!M80+1,3)-INDEX(T1_Tabel,Berekening!M80,3))</f>
        <v>0.244</v>
      </c>
    </row>
    <row r="19" customFormat="false" ht="15" hidden="false" customHeight="false" outlineLevel="0" collapsed="false">
      <c r="A19" s="9" t="s">
        <v>302</v>
      </c>
      <c r="B19" s="19" t="s">
        <v>101</v>
      </c>
      <c r="C19" s="29" t="n">
        <f aca="false">MAX(0,(C18*C6/12-Berekening!C18-Berekening!C44)*Berekening!C11-Berekening!C75+C7)</f>
        <v>219769.177204286</v>
      </c>
      <c r="D19" s="29" t="n">
        <f aca="false">MAX(0,(D18*D6/12-Berekening!D18-Berekening!D44)*Berekening!D11-Berekening!D75+D7)</f>
        <v>248820.729158095</v>
      </c>
      <c r="E19" s="29" t="n">
        <f aca="false">MAX(0,(E18*E6/12-Berekening!E18-Berekening!E44)*Berekening!E11-Berekening!E75+E7)</f>
        <v>97121.6338657513</v>
      </c>
      <c r="F19" s="29" t="n">
        <f aca="false">MAX(0,(F18*F6/12-Berekening!F18-Berekening!F44)*Berekening!F11-Berekening!F75+F7)</f>
        <v>212428.842420452</v>
      </c>
      <c r="G19" s="29" t="n">
        <f aca="false">MAX(0,(G18*G6/12-Berekening!G18-Berekening!G44)*Berekening!G11-Berekening!G75+G7)</f>
        <v>212140.885818304</v>
      </c>
      <c r="H19" s="29" t="n">
        <f aca="false">MAX(0,(H18*H6/12-Berekening!H18-Berekening!H44)*Berekening!H11-Berekening!H75+H7)</f>
        <v>568647.435084439</v>
      </c>
      <c r="I19" s="29" t="n">
        <f aca="false">MAX(0,(I18*I6/12-Berekening!I18-Berekening!I44)*Berekening!I11-Berekening!I75+I7)</f>
        <v>772541.083977972</v>
      </c>
      <c r="J19" s="29" t="n">
        <f aca="false">MAX(0,(J18*J6/12-Berekening!J18-Berekening!J44)*Berekening!J11-Berekening!J75+J7)</f>
        <v>257055.24682993</v>
      </c>
      <c r="K19" s="29" t="n">
        <f aca="false">MAX(0,(K18*K6/12-Berekening!K18-Berekening!K44)*Berekening!K11-Berekening!K75+K7)</f>
        <v>9386.71224277015</v>
      </c>
      <c r="L19" s="29" t="n">
        <f aca="false">MAX(0,(L18*L6/12-Berekening!L18-Berekening!L44)*Berekening!L11-Berekening!L75+L7)</f>
        <v>0</v>
      </c>
      <c r="M19" s="29" t="n">
        <f aca="false">MAX(0,(M18*M6/12-Berekening!M18-Berekening!M44)*Berekening!M11-Berekening!M75+M7)</f>
        <v>219769.177204286</v>
      </c>
    </row>
    <row r="20" customFormat="false" ht="15" hidden="false" customHeight="false" outlineLevel="0" collapsed="false">
      <c r="A20" s="9" t="s">
        <v>303</v>
      </c>
      <c r="B20" s="19" t="s">
        <v>101</v>
      </c>
      <c r="C20" s="29" t="n">
        <f aca="false">MAX(0,IF((INDEX(T1_Rente,3)+0.000005)&gt;Berekening!C10,(Berekening!C45-(INDEX(T1_Rente,3)+0.000005)*Berekening!C46)/(360*((INDEX(T1_Rente,3)+0.000005)-Berekening!C10)),IF((INDEX(T1_Rente,3)+0.000005)=Berekening!C10,IF(Berekening!C45-(INDEX(T1_Rente,3)+0.000005)*Berekening!C46&lt;=0,-1000000000000,1000000000000),-1000000000000)),IF((INDEX(T1_Rente,3)-0.005+0.000005)&lt;Berekening!C10,(Berekening!C45-(INDEX(T1_Rente,3)-0.005+0.000005)*Berekening!C46)/(360*((INDEX(T1_Rente,3)-0.005+0.000005)-Berekening!C10)),IF((INDEX(T1_Rente,3)-0.005+0.000005)=Berekening!C10,IF(Berekening!C45-(INDEX(T1_Rente,3)-0.005+0.000005)*Berekening!C46&gt;0,-1000000000000,1000000000000),-1000000000000)))</f>
        <v>0</v>
      </c>
      <c r="D20" s="29" t="n">
        <f aca="false">MAX(0,IF((INDEX(T1_Rente,3)+0.000005)&gt;Berekening!D10,(Berekening!D45-(INDEX(T1_Rente,3)+0.000005)*Berekening!D46)/(360*((INDEX(T1_Rente,3)+0.000005)-Berekening!D10)),IF((INDEX(T1_Rente,3)+0.000005)=Berekening!D10,IF(Berekening!D45-(INDEX(T1_Rente,3)+0.000005)*Berekening!D46&lt;=0,-1000000000000,1000000000000),-1000000000000)),IF((INDEX(T1_Rente,3)-0.005+0.000005)&lt;Berekening!D10,(Berekening!D45-(INDEX(T1_Rente,3)-0.005+0.000005)*Berekening!D46)/(360*((INDEX(T1_Rente,3)-0.005+0.000005)-Berekening!D10)),IF((INDEX(T1_Rente,3)-0.005+0.000005)=Berekening!D10,IF(Berekening!D45-(INDEX(T1_Rente,3)-0.005+0.000005)*Berekening!D46&gt;0,-1000000000000,1000000000000),-1000000000000)))</f>
        <v>0</v>
      </c>
      <c r="E20" s="29" t="n">
        <f aca="false">MAX(0,IF((INDEX(T1_Rente,3)+0.000005)&gt;Berekening!E10,(Berekening!E45-(INDEX(T1_Rente,3)+0.000005)*Berekening!E46)/(360*((INDEX(T1_Rente,3)+0.000005)-Berekening!E10)),IF((INDEX(T1_Rente,3)+0.000005)=Berekening!E10,IF(Berekening!E45-(INDEX(T1_Rente,3)+0.000005)*Berekening!E46&lt;=0,-1000000000000,1000000000000),-1000000000000)),IF((INDEX(T1_Rente,3)-0.005+0.000005)&lt;Berekening!E10,(Berekening!E45-(INDEX(T1_Rente,3)-0.005+0.000005)*Berekening!E46)/(360*((INDEX(T1_Rente,3)-0.005+0.000005)-Berekening!E10)),IF((INDEX(T1_Rente,3)-0.005+0.000005)=Berekening!E10,IF(Berekening!E45-(INDEX(T1_Rente,3)-0.005+0.000005)*Berekening!E46&gt;0,-1000000000000,1000000000000),-1000000000000)))</f>
        <v>0</v>
      </c>
      <c r="F20" s="29" t="n">
        <f aca="false">MAX(0,IF((INDEX(T1_Rente,3)+0.000005)&gt;Berekening!F10,(Berekening!F45-(INDEX(T1_Rente,3)+0.000005)*Berekening!F46)/(360*((INDEX(T1_Rente,3)+0.000005)-Berekening!F10)),IF((INDEX(T1_Rente,3)+0.000005)=Berekening!F10,IF(Berekening!F45-(INDEX(T1_Rente,3)+0.000005)*Berekening!F46&lt;=0,-1000000000000,1000000000000),-1000000000000)),IF((INDEX(T1_Rente,3)-0.005+0.000005)&lt;Berekening!F10,(Berekening!F45-(INDEX(T1_Rente,3)-0.005+0.000005)*Berekening!F46)/(360*((INDEX(T1_Rente,3)-0.005+0.000005)-Berekening!F10)),IF((INDEX(T1_Rente,3)-0.005+0.000005)=Berekening!F10,IF(Berekening!F45-(INDEX(T1_Rente,3)-0.005+0.000005)*Berekening!F46&gt;0,-1000000000000,1000000000000),-1000000000000)))</f>
        <v>0</v>
      </c>
      <c r="G20" s="29" t="n">
        <f aca="false">MAX(0,IF((INDEX(T1_Rente,3)+0.000005)&gt;Berekening!G10,(Berekening!G45-(INDEX(T1_Rente,3)+0.000005)*Berekening!G46)/(360*((INDEX(T1_Rente,3)+0.000005)-Berekening!G10)),IF((INDEX(T1_Rente,3)+0.000005)=Berekening!G10,IF(Berekening!G45-(INDEX(T1_Rente,3)+0.000005)*Berekening!G46&lt;=0,-1000000000000,1000000000000),-1000000000000)),IF((INDEX(T1_Rente,3)-0.005+0.000005)&lt;Berekening!G10,(Berekening!G45-(INDEX(T1_Rente,3)-0.005+0.000005)*Berekening!G46)/(360*((INDEX(T1_Rente,3)-0.005+0.000005)-Berekening!G10)),IF((INDEX(T1_Rente,3)-0.005+0.000005)=Berekening!G10,IF(Berekening!G45-(INDEX(T1_Rente,3)-0.005+0.000005)*Berekening!G46&gt;0,-1000000000000,1000000000000),-1000000000000)))</f>
        <v>-0</v>
      </c>
      <c r="H20" s="29" t="n">
        <f aca="false">MAX(0,IF((INDEX(T1_Rente,3)+0.000005)&gt;Berekening!H10,(Berekening!H45-(INDEX(T1_Rente,3)+0.000005)*Berekening!H46)/(360*((INDEX(T1_Rente,3)+0.000005)-Berekening!H10)),IF((INDEX(T1_Rente,3)+0.000005)=Berekening!H10,IF(Berekening!H45-(INDEX(T1_Rente,3)+0.000005)*Berekening!H46&lt;=0,-1000000000000,1000000000000),-1000000000000)),IF((INDEX(T1_Rente,3)-0.005+0.000005)&lt;Berekening!H10,(Berekening!H45-(INDEX(T1_Rente,3)-0.005+0.000005)*Berekening!H46)/(360*((INDEX(T1_Rente,3)-0.005+0.000005)-Berekening!H10)),IF((INDEX(T1_Rente,3)-0.005+0.000005)=Berekening!H10,IF(Berekening!H45-(INDEX(T1_Rente,3)-0.005+0.000005)*Berekening!H46&gt;0,-1000000000000,1000000000000),-1000000000000)))</f>
        <v>-0</v>
      </c>
      <c r="I20" s="29" t="n">
        <f aca="false">MAX(0,IF((INDEX(T1_Rente,3)+0.000005)&gt;Berekening!I10,(Berekening!I45-(INDEX(T1_Rente,3)+0.000005)*Berekening!I46)/(360*((INDEX(T1_Rente,3)+0.000005)-Berekening!I10)),IF((INDEX(T1_Rente,3)+0.000005)=Berekening!I10,IF(Berekening!I45-(INDEX(T1_Rente,3)+0.000005)*Berekening!I46&lt;=0,-1000000000000,1000000000000),-1000000000000)),IF((INDEX(T1_Rente,3)-0.005+0.000005)&lt;Berekening!I10,(Berekening!I45-(INDEX(T1_Rente,3)-0.005+0.000005)*Berekening!I46)/(360*((INDEX(T1_Rente,3)-0.005+0.000005)-Berekening!I10)),IF((INDEX(T1_Rente,3)-0.005+0.000005)=Berekening!I10,IF(Berekening!I45-(INDEX(T1_Rente,3)-0.005+0.000005)*Berekening!I46&gt;0,-1000000000000,1000000000000),-1000000000000)))</f>
        <v>-0</v>
      </c>
      <c r="J20" s="29" t="n">
        <f aca="false">MAX(0,IF((INDEX(T1_Rente,3)+0.000005)&gt;Berekening!J10,(Berekening!J45-(INDEX(T1_Rente,3)+0.000005)*Berekening!J46)/(360*((INDEX(T1_Rente,3)+0.000005)-Berekening!J10)),IF((INDEX(T1_Rente,3)+0.000005)=Berekening!J10,IF(Berekening!J45-(INDEX(T1_Rente,3)+0.000005)*Berekening!J46&lt;=0,-1000000000000,1000000000000),-1000000000000)),IF((INDEX(T1_Rente,3)-0.005+0.000005)&lt;Berekening!J10,(Berekening!J45-(INDEX(T1_Rente,3)-0.005+0.000005)*Berekening!J46)/(360*((INDEX(T1_Rente,3)-0.005+0.000005)-Berekening!J10)),IF((INDEX(T1_Rente,3)-0.005+0.000005)=Berekening!J10,IF(Berekening!J45-(INDEX(T1_Rente,3)-0.005+0.000005)*Berekening!J46&gt;0,-1000000000000,1000000000000),-1000000000000)))</f>
        <v>0</v>
      </c>
      <c r="K20" s="29" t="n">
        <f aca="false">MAX(0,IF((INDEX(T1_Rente,3)+0.000005)&gt;Berekening!K10,(Berekening!K45-(INDEX(T1_Rente,3)+0.000005)*Berekening!K46)/(360*((INDEX(T1_Rente,3)+0.000005)-Berekening!K10)),IF((INDEX(T1_Rente,3)+0.000005)=Berekening!K10,IF(Berekening!K45-(INDEX(T1_Rente,3)+0.000005)*Berekening!K46&lt;=0,-1000000000000,1000000000000),-1000000000000)),IF((INDEX(T1_Rente,3)-0.005+0.000005)&lt;Berekening!K10,(Berekening!K45-(INDEX(T1_Rente,3)-0.005+0.000005)*Berekening!K46)/(360*((INDEX(T1_Rente,3)-0.005+0.000005)-Berekening!K10)),IF((INDEX(T1_Rente,3)-0.005+0.000005)=Berekening!K10,IF(Berekening!K45-(INDEX(T1_Rente,3)-0.005+0.000005)*Berekening!K46&gt;0,-1000000000000,1000000000000),-1000000000000)))</f>
        <v>0</v>
      </c>
      <c r="L20" s="29" t="n">
        <f aca="false">MAX(0,IF((INDEX(T1_Rente,3)+0.000005)&gt;Berekening!L10,(Berekening!L45-(INDEX(T1_Rente,3)+0.000005)*Berekening!L46)/(360*((INDEX(T1_Rente,3)+0.000005)-Berekening!L10)),IF((INDEX(T1_Rente,3)+0.000005)=Berekening!L10,IF(Berekening!L45-(INDEX(T1_Rente,3)+0.000005)*Berekening!L46&lt;=0,-1000000000000,1000000000000),-1000000000000)),IF((INDEX(T1_Rente,3)-0.005+0.000005)&lt;Berekening!L10,(Berekening!L45-(INDEX(T1_Rente,3)-0.005+0.000005)*Berekening!L46)/(360*((INDEX(T1_Rente,3)-0.005+0.000005)-Berekening!L10)),IF((INDEX(T1_Rente,3)-0.005+0.000005)=Berekening!L10,IF(Berekening!L45-(INDEX(T1_Rente,3)-0.005+0.000005)*Berekening!L46&gt;0,-1000000000000,1000000000000),-1000000000000)))</f>
        <v>0</v>
      </c>
      <c r="M20" s="29" t="n">
        <f aca="false">MAX(0,IF((INDEX(T1_Rente,3)+0.000005)&gt;Berekening!M10,(Berekening!M45-(INDEX(T1_Rente,3)+0.000005)*Berekening!M46)/(360*((INDEX(T1_Rente,3)+0.000005)-Berekening!M10)),IF((INDEX(T1_Rente,3)+0.000005)=Berekening!M10,IF(Berekening!M45-(INDEX(T1_Rente,3)+0.000005)*Berekening!M46&lt;=0,-1000000000000,1000000000000),-1000000000000)),IF((INDEX(T1_Rente,3)-0.005+0.000005)&lt;Berekening!M10,(Berekening!M45-(INDEX(T1_Rente,3)-0.005+0.000005)*Berekening!M46)/(360*((INDEX(T1_Rente,3)-0.005+0.000005)-Berekening!M10)),IF((INDEX(T1_Rente,3)-0.005+0.000005)=Berekening!M10,IF(Berekening!M45-(INDEX(T1_Rente,3)-0.005+0.000005)*Berekening!M46&gt;0,-1000000000000,1000000000000),-1000000000000)))</f>
        <v>0</v>
      </c>
    </row>
    <row r="21" customFormat="false" ht="15" hidden="false" customHeight="false" outlineLevel="0" collapsed="false">
      <c r="A21" s="9" t="s">
        <v>304</v>
      </c>
      <c r="B21" s="19" t="s">
        <v>101</v>
      </c>
      <c r="C21" s="29" t="n">
        <f aca="false">MIN(1000000000000,IF((INDEX(T1_Rente,3)+0.000005)&lt;Berekening!C10,(Berekening!C45-(INDEX(T1_Rente,3)+0.000005)*Berekening!C46)/(360*((INDEX(T1_Rente,3)+0.000005)-Berekening!C10)),1000000000000),IF((INDEX(T1_Rente,3)-0.005+0.000005)&gt;Berekening!C10,(Berekening!C45-(INDEX(T1_Rente,3)-0.005+0.000005)*Berekening!C46)/(360*((INDEX(T1_Rente,3)-0.005+0.000005)-Berekening!C10)),1000000000000))</f>
        <v>-144272.849430311</v>
      </c>
      <c r="D21" s="29" t="n">
        <f aca="false">MIN(1000000000000,IF((INDEX(T1_Rente,3)+0.000005)&lt;Berekening!D10,(Berekening!D45-(INDEX(T1_Rente,3)+0.000005)*Berekening!D46)/(360*((INDEX(T1_Rente,3)+0.000005)-Berekening!D10)),1000000000000),IF((INDEX(T1_Rente,3)-0.005+0.000005)&gt;Berekening!D10,(Berekening!D45-(INDEX(T1_Rente,3)-0.005+0.000005)*Berekening!D46)/(360*((INDEX(T1_Rente,3)-0.005+0.000005)-Berekening!D10)),1000000000000))</f>
        <v>-202381.685108472</v>
      </c>
      <c r="E21" s="29" t="n">
        <f aca="false">MIN(1000000000000,IF((INDEX(T1_Rente,3)+0.000005)&lt;Berekening!E10,(Berekening!E45-(INDEX(T1_Rente,3)+0.000005)*Berekening!E46)/(360*((INDEX(T1_Rente,3)+0.000005)-Berekening!E10)),1000000000000),IF((INDEX(T1_Rente,3)-0.005+0.000005)&gt;Berekening!E10,(Berekening!E45-(INDEX(T1_Rente,3)-0.005+0.000005)*Berekening!E46)/(360*((INDEX(T1_Rente,3)-0.005+0.000005)-Berekening!E10)),1000000000000))</f>
        <v>-653954.603483748</v>
      </c>
      <c r="F21" s="29" t="n">
        <f aca="false">MIN(1000000000000,IF((INDEX(T1_Rente,3)+0.000005)&lt;Berekening!F10,(Berekening!F45-(INDEX(T1_Rente,3)+0.000005)*Berekening!F46)/(360*((INDEX(T1_Rente,3)+0.000005)-Berekening!F10)),1000000000000),IF((INDEX(T1_Rente,3)-0.005+0.000005)&gt;Berekening!F10,(Berekening!F45-(INDEX(T1_Rente,3)-0.005+0.000005)*Berekening!F46)/(360*((INDEX(T1_Rente,3)-0.005+0.000005)-Berekening!F10)),1000000000000))</f>
        <v>-126379.43741855</v>
      </c>
      <c r="G21" s="29" t="n">
        <f aca="false">MIN(1000000000000,IF((INDEX(T1_Rente,3)+0.000005)&lt;Berekening!G10,(Berekening!G45-(INDEX(T1_Rente,3)+0.000005)*Berekening!G46)/(360*((INDEX(T1_Rente,3)+0.000005)-Berekening!G10)),1000000000000),IF((INDEX(T1_Rente,3)-0.005+0.000005)&gt;Berekening!G10,(Berekening!G45-(INDEX(T1_Rente,3)-0.005+0.000005)*Berekening!G46)/(360*((INDEX(T1_Rente,3)-0.005+0.000005)-Berekening!G10)),1000000000000))</f>
        <v>-0</v>
      </c>
      <c r="H21" s="29" t="n">
        <f aca="false">MIN(1000000000000,IF((INDEX(T1_Rente,3)+0.000005)&lt;Berekening!H10,(Berekening!H45-(INDEX(T1_Rente,3)+0.000005)*Berekening!H46)/(360*((INDEX(T1_Rente,3)+0.000005)-Berekening!H10)),1000000000000),IF((INDEX(T1_Rente,3)-0.005+0.000005)&gt;Berekening!H10,(Berekening!H45-(INDEX(T1_Rente,3)-0.005+0.000005)*Berekening!H46)/(360*((INDEX(T1_Rente,3)-0.005+0.000005)-Berekening!H10)),1000000000000))</f>
        <v>-0</v>
      </c>
      <c r="I21" s="29" t="n">
        <f aca="false">MIN(1000000000000,IF((INDEX(T1_Rente,3)+0.000005)&lt;Berekening!I10,(Berekening!I45-(INDEX(T1_Rente,3)+0.000005)*Berekening!I46)/(360*((INDEX(T1_Rente,3)+0.000005)-Berekening!I10)),1000000000000),IF((INDEX(T1_Rente,3)-0.005+0.000005)&gt;Berekening!I10,(Berekening!I45-(INDEX(T1_Rente,3)-0.005+0.000005)*Berekening!I46)/(360*((INDEX(T1_Rente,3)-0.005+0.000005)-Berekening!I10)),1000000000000))</f>
        <v>-0</v>
      </c>
      <c r="J21" s="29" t="n">
        <f aca="false">MIN(1000000000000,IF((INDEX(T1_Rente,3)+0.000005)&lt;Berekening!J10,(Berekening!J45-(INDEX(T1_Rente,3)+0.000005)*Berekening!J46)/(360*((INDEX(T1_Rente,3)+0.000005)-Berekening!J10)),1000000000000),IF((INDEX(T1_Rente,3)-0.005+0.000005)&gt;Berekening!J10,(Berekening!J45-(INDEX(T1_Rente,3)-0.005+0.000005)*Berekening!J46)/(360*((INDEX(T1_Rente,3)-0.005+0.000005)-Berekening!J10)),1000000000000))</f>
        <v>-144272.849430311</v>
      </c>
      <c r="K21" s="29" t="n">
        <f aca="false">MIN(1000000000000,IF((INDEX(T1_Rente,3)+0.000005)&lt;Berekening!K10,(Berekening!K45-(INDEX(T1_Rente,3)+0.000005)*Berekening!K46)/(360*((INDEX(T1_Rente,3)+0.000005)-Berekening!K10)),1000000000000),IF((INDEX(T1_Rente,3)-0.005+0.000005)&gt;Berekening!K10,(Berekening!K45-(INDEX(T1_Rente,3)-0.005+0.000005)*Berekening!K46)/(360*((INDEX(T1_Rente,3)-0.005+0.000005)-Berekening!K10)),1000000000000))</f>
        <v>-541618.58364416</v>
      </c>
      <c r="L21" s="29" t="n">
        <f aca="false">MIN(1000000000000,IF((INDEX(T1_Rente,3)+0.000005)&lt;Berekening!L10,(Berekening!L45-(INDEX(T1_Rente,3)+0.000005)*Berekening!L46)/(360*((INDEX(T1_Rente,3)+0.000005)-Berekening!L10)),1000000000000),IF((INDEX(T1_Rente,3)-0.005+0.000005)&gt;Berekening!L10,(Berekening!L45-(INDEX(T1_Rente,3)-0.005+0.000005)*Berekening!L46)/(360*((INDEX(T1_Rente,3)-0.005+0.000005)-Berekening!L10)),1000000000000))</f>
        <v>-144272.849430311</v>
      </c>
      <c r="M21" s="29" t="n">
        <f aca="false">MIN(1000000000000,IF((INDEX(T1_Rente,3)+0.000005)&lt;Berekening!M10,(Berekening!M45-(INDEX(T1_Rente,3)+0.000005)*Berekening!M46)/(360*((INDEX(T1_Rente,3)+0.000005)-Berekening!M10)),1000000000000),IF((INDEX(T1_Rente,3)-0.005+0.000005)&gt;Berekening!M10,(Berekening!M45-(INDEX(T1_Rente,3)-0.005+0.000005)*Berekening!M46)/(360*((INDEX(T1_Rente,3)-0.005+0.000005)-Berekening!M10)),1000000000000))</f>
        <v>-144272.849430311</v>
      </c>
    </row>
    <row r="22" customFormat="false" ht="15" hidden="false" customHeight="false" outlineLevel="0" collapsed="false">
      <c r="A22" s="9" t="s">
        <v>305</v>
      </c>
      <c r="B22" s="19" t="s">
        <v>101</v>
      </c>
      <c r="C22" s="29" t="n">
        <f aca="false">IF(C20&gt;C21,-1,IF(C19&lt;C20-0.000000001,-1,IF(C19&gt;C21,MAX(C20,C21-1),C19)))</f>
        <v>-1</v>
      </c>
      <c r="D22" s="29" t="n">
        <f aca="false">IF(D20&gt;D21,-1,IF(D19&lt;D20-0.000000001,-1,IF(D19&gt;D21,MAX(D20,D21-1),D19)))</f>
        <v>-1</v>
      </c>
      <c r="E22" s="29" t="n">
        <f aca="false">IF(E20&gt;E21,-1,IF(E19&lt;E20-0.000000001,-1,IF(E19&gt;E21,MAX(E20,E21-1),E19)))</f>
        <v>-1</v>
      </c>
      <c r="F22" s="29" t="n">
        <f aca="false">IF(F20&gt;F21,-1,IF(F19&lt;F20-0.000000001,-1,IF(F19&gt;F21,MAX(F20,F21-1),F19)))</f>
        <v>-1</v>
      </c>
      <c r="G22" s="29" t="n">
        <f aca="false">IF(G20&gt;G21,-1,IF(G19&lt;G20-0.000000001,-1,IF(G19&gt;G21,MAX(G20,G21-1),G19)))</f>
        <v>-0</v>
      </c>
      <c r="H22" s="29" t="n">
        <f aca="false">IF(H20&gt;H21,-1,IF(H19&lt;H20-0.000000001,-1,IF(H19&gt;H21,MAX(H20,H21-1),H19)))</f>
        <v>-0</v>
      </c>
      <c r="I22" s="29" t="n">
        <f aca="false">IF(I20&gt;I21,-1,IF(I19&lt;I20-0.000000001,-1,IF(I19&gt;I21,MAX(I20,I21-1),I19)))</f>
        <v>-0</v>
      </c>
      <c r="J22" s="29" t="n">
        <f aca="false">IF(J20&gt;J21,-1,IF(J19&lt;J20-0.000000001,-1,IF(J19&gt;J21,MAX(J20,J21-1),J19)))</f>
        <v>-1</v>
      </c>
      <c r="K22" s="29" t="n">
        <f aca="false">IF(K20&gt;K21,-1,IF(K19&lt;K20-0.000000001,-1,IF(K19&gt;K21,MAX(K20,K21-1),K19)))</f>
        <v>-1</v>
      </c>
      <c r="L22" s="29" t="n">
        <f aca="false">IF(L20&gt;L21,-1,IF(L19&lt;L20-0.000000001,-1,IF(L19&gt;L21,MAX(L20,L21-1),L19)))</f>
        <v>-1</v>
      </c>
      <c r="M22" s="29" t="n">
        <f aca="false">IF(M20&gt;M21,-1,IF(M19&lt;M20-0.000000001,-1,IF(M19&gt;M21,MAX(M20,M21-1),M19)))</f>
        <v>-1</v>
      </c>
    </row>
    <row r="23" customFormat="false" ht="15" hidden="false" customHeight="false" outlineLevel="0" collapsed="false">
      <c r="A23" s="9" t="s">
        <v>306</v>
      </c>
      <c r="B23" s="19" t="s">
        <v>157</v>
      </c>
      <c r="C23" s="38" t="n">
        <f aca="false">INDEX(T1_Tabel,Berekening!C80,4)+(Berekening!C79-INDEX(T1_Inkomen,Berekening!C80))/(INDEX(T1_Inkomen,Berekening!C80+1)-INDEX(T1_Inkomen,Berekening!C80))*(INDEX(T1_Tabel,Berekening!C80+1,4)-INDEX(T1_Tabel,Berekening!C80,4))</f>
        <v>0.255</v>
      </c>
      <c r="D23" s="38" t="n">
        <f aca="false">INDEX(T1_Tabel,Berekening!D80,4)+(Berekening!D79-INDEX(T1_Inkomen,Berekening!D80))/(INDEX(T1_Inkomen,Berekening!D80+1)-INDEX(T1_Inkomen,Berekening!D80))*(INDEX(T1_Tabel,Berekening!D80+1,4)-INDEX(T1_Tabel,Berekening!D80,4))</f>
        <v>0.255</v>
      </c>
      <c r="E23" s="38" t="n">
        <f aca="false">INDEX(T1_Tabel,Berekening!E80,4)+(Berekening!E79-INDEX(T1_Inkomen,Berekening!E80))/(INDEX(T1_Inkomen,Berekening!E80+1)-INDEX(T1_Inkomen,Berekening!E80))*(INDEX(T1_Tabel,Berekening!E80+1,4)-INDEX(T1_Tabel,Berekening!E80,4))</f>
        <v>0.255</v>
      </c>
      <c r="F23" s="38" t="n">
        <f aca="false">INDEX(T1_Tabel,Berekening!F80,4)+(Berekening!F79-INDEX(T1_Inkomen,Berekening!F80))/(INDEX(T1_Inkomen,Berekening!F80+1)-INDEX(T1_Inkomen,Berekening!F80))*(INDEX(T1_Tabel,Berekening!F80+1,4)-INDEX(T1_Tabel,Berekening!F80,4))</f>
        <v>0.255</v>
      </c>
      <c r="G23" s="38" t="n">
        <f aca="false">INDEX(T1_Tabel,Berekening!G80,4)+(Berekening!G79-INDEX(T1_Inkomen,Berekening!G80))/(INDEX(T1_Inkomen,Berekening!G80+1)-INDEX(T1_Inkomen,Berekening!G80))*(INDEX(T1_Tabel,Berekening!G80+1,4)-INDEX(T1_Tabel,Berekening!G80,4))</f>
        <v>0.207</v>
      </c>
      <c r="H23" s="38" t="n">
        <f aca="false">INDEX(T1_Tabel,Berekening!H80,4)+(Berekening!H79-INDEX(T1_Inkomen,Berekening!H80))/(INDEX(T1_Inkomen,Berekening!H80+1)-INDEX(T1_Inkomen,Berekening!H80))*(INDEX(T1_Tabel,Berekening!H80+1,4)-INDEX(T1_Tabel,Berekening!H80,4))</f>
        <v>0.255</v>
      </c>
      <c r="I23" s="38" t="n">
        <f aca="false">INDEX(T1_Tabel,Berekening!I80,4)+(Berekening!I79-INDEX(T1_Inkomen,Berekening!I80))/(INDEX(T1_Inkomen,Berekening!I80+1)-INDEX(T1_Inkomen,Berekening!I80))*(INDEX(T1_Tabel,Berekening!I80+1,4)-INDEX(T1_Tabel,Berekening!I80,4))</f>
        <v>0.255</v>
      </c>
      <c r="J23" s="38" t="n">
        <f aca="false">INDEX(T1_Tabel,Berekening!J80,4)+(Berekening!J79-INDEX(T1_Inkomen,Berekening!J80))/(INDEX(T1_Inkomen,Berekening!J80+1)-INDEX(T1_Inkomen,Berekening!J80))*(INDEX(T1_Tabel,Berekening!J80+1,4)-INDEX(T1_Tabel,Berekening!J80,4))</f>
        <v>0.255</v>
      </c>
      <c r="K23" s="38" t="n">
        <f aca="false">INDEX(T1_Tabel,Berekening!K80,4)+(Berekening!K79-INDEX(T1_Inkomen,Berekening!K80))/(INDEX(T1_Inkomen,Berekening!K80+1)-INDEX(T1_Inkomen,Berekening!K80))*(INDEX(T1_Tabel,Berekening!K80+1,4)-INDEX(T1_Tabel,Berekening!K80,4))</f>
        <v>0.255</v>
      </c>
      <c r="L23" s="38" t="n">
        <f aca="false">INDEX(T1_Tabel,Berekening!L80,4)+(Berekening!L79-INDEX(T1_Inkomen,Berekening!L80))/(INDEX(T1_Inkomen,Berekening!L80+1)-INDEX(T1_Inkomen,Berekening!L80))*(INDEX(T1_Tabel,Berekening!L80+1,4)-INDEX(T1_Tabel,Berekening!L80,4))</f>
        <v>0.255</v>
      </c>
      <c r="M23" s="38" t="n">
        <f aca="false">INDEX(T1_Tabel,Berekening!M80,4)+(Berekening!M79-INDEX(T1_Inkomen,Berekening!M80))/(INDEX(T1_Inkomen,Berekening!M80+1)-INDEX(T1_Inkomen,Berekening!M80))*(INDEX(T1_Tabel,Berekening!M80+1,4)-INDEX(T1_Tabel,Berekening!M80,4))</f>
        <v>0.255</v>
      </c>
    </row>
    <row r="24" customFormat="false" ht="15" hidden="false" customHeight="false" outlineLevel="0" collapsed="false">
      <c r="A24" s="9" t="s">
        <v>307</v>
      </c>
      <c r="B24" s="19" t="s">
        <v>101</v>
      </c>
      <c r="C24" s="29" t="n">
        <f aca="false">MAX(0,(C23*C6/12-Berekening!C18-Berekening!C44)*Berekening!C11-Berekening!C75+C7)</f>
        <v>259582.941366748</v>
      </c>
      <c r="D24" s="29" t="n">
        <f aca="false">MAX(0,(D23*D6/12-Berekening!D18-Berekening!D44)*Berekening!D11-Berekening!D75+D7)</f>
        <v>288634.493320557</v>
      </c>
      <c r="E24" s="29" t="n">
        <f aca="false">MAX(0,(E23*E6/12-Berekening!E18-Berekening!E44)*Berekening!E11-Berekening!E75+E7)</f>
        <v>136935.398028213</v>
      </c>
      <c r="F24" s="29" t="n">
        <f aca="false">MAX(0,(F23*F6/12-Berekening!F18-Berekening!F44)*Berekening!F11-Berekening!F75+F7)</f>
        <v>250849.425936205</v>
      </c>
      <c r="G24" s="29" t="n">
        <f aca="false">MAX(0,(G23*G6/12-Berekening!G18-Berekening!G44)*Berekening!G11-Berekening!G75+G7)</f>
        <v>221792.707433446</v>
      </c>
      <c r="H24" s="29" t="n">
        <f aca="false">MAX(0,(H23*H6/12-Berekening!H18-Berekening!H44)*Berekening!H11-Berekening!H75+H7)</f>
        <v>595189.94452608</v>
      </c>
      <c r="I24" s="29" t="n">
        <f aca="false">MAX(0,(I23*I6/12-Berekening!I18-Berekening!I44)*Berekening!I11-Berekening!I75+I7)</f>
        <v>812354.848140434</v>
      </c>
      <c r="J24" s="29" t="n">
        <f aca="false">MAX(0,(J23*J6/12-Berekening!J18-Berekening!J44)*Berekening!J11-Berekening!J75+J7)</f>
        <v>296869.010992392</v>
      </c>
      <c r="K24" s="29" t="n">
        <f aca="false">MAX(0,(K23*K6/12-Berekening!K18-Berekening!K44)*Berekening!K11-Berekening!K75+K7)</f>
        <v>49200.4764052323</v>
      </c>
      <c r="L24" s="29" t="n">
        <f aca="false">MAX(0,(L23*L6/12-Berekening!L18-Berekening!L44)*Berekening!L11-Berekening!L75+L7)</f>
        <v>0</v>
      </c>
      <c r="M24" s="29" t="n">
        <f aca="false">MAX(0,(M23*M6/12-Berekening!M18-Berekening!M44)*Berekening!M11-Berekening!M75+M7)</f>
        <v>259582.941366748</v>
      </c>
    </row>
    <row r="25" customFormat="false" ht="15" hidden="false" customHeight="false" outlineLevel="0" collapsed="false">
      <c r="A25" s="9" t="s">
        <v>308</v>
      </c>
      <c r="B25" s="19" t="s">
        <v>101</v>
      </c>
      <c r="C25" s="29" t="n">
        <f aca="false">MAX(0,IF((INDEX(T1_Rente,4)+0.000005)&gt;Berekening!C10,(Berekening!C45-(INDEX(T1_Rente,4)+0.000005)*Berekening!C46)/(360*((INDEX(T1_Rente,4)+0.000005)-Berekening!C10)),IF((INDEX(T1_Rente,4)+0.000005)=Berekening!C10,IF(Berekening!C45-(INDEX(T1_Rente,4)+0.000005)*Berekening!C46&lt;=0,-1000000000000,1000000000000),-1000000000000)),IF((INDEX(T1_Rente,4)-0.005+0.000005)&lt;Berekening!C10,(Berekening!C45-(INDEX(T1_Rente,4)-0.005+0.000005)*Berekening!C46)/(360*((INDEX(T1_Rente,4)-0.005+0.000005)-Berekening!C10)),IF((INDEX(T1_Rente,4)-0.005+0.000005)=Berekening!C10,IF(Berekening!C45-(INDEX(T1_Rente,4)-0.005+0.000005)*Berekening!C46&gt;0,-1000000000000,1000000000000),-1000000000000)))</f>
        <v>0</v>
      </c>
      <c r="D25" s="29" t="n">
        <f aca="false">MAX(0,IF((INDEX(T1_Rente,4)+0.000005)&gt;Berekening!D10,(Berekening!D45-(INDEX(T1_Rente,4)+0.000005)*Berekening!D46)/(360*((INDEX(T1_Rente,4)+0.000005)-Berekening!D10)),IF((INDEX(T1_Rente,4)+0.000005)=Berekening!D10,IF(Berekening!D45-(INDEX(T1_Rente,4)+0.000005)*Berekening!D46&lt;=0,-1000000000000,1000000000000),-1000000000000)),IF((INDEX(T1_Rente,4)-0.005+0.000005)&lt;Berekening!D10,(Berekening!D45-(INDEX(T1_Rente,4)-0.005+0.000005)*Berekening!D46)/(360*((INDEX(T1_Rente,4)-0.005+0.000005)-Berekening!D10)),IF((INDEX(T1_Rente,4)-0.005+0.000005)=Berekening!D10,IF(Berekening!D45-(INDEX(T1_Rente,4)-0.005+0.000005)*Berekening!D46&gt;0,-1000000000000,1000000000000),-1000000000000)))</f>
        <v>0</v>
      </c>
      <c r="E25" s="29" t="n">
        <f aca="false">MAX(0,IF((INDEX(T1_Rente,4)+0.000005)&gt;Berekening!E10,(Berekening!E45-(INDEX(T1_Rente,4)+0.000005)*Berekening!E46)/(360*((INDEX(T1_Rente,4)+0.000005)-Berekening!E10)),IF((INDEX(T1_Rente,4)+0.000005)=Berekening!E10,IF(Berekening!E45-(INDEX(T1_Rente,4)+0.000005)*Berekening!E46&lt;=0,-1000000000000,1000000000000),-1000000000000)),IF((INDEX(T1_Rente,4)-0.005+0.000005)&lt;Berekening!E10,(Berekening!E45-(INDEX(T1_Rente,4)-0.005+0.000005)*Berekening!E46)/(360*((INDEX(T1_Rente,4)-0.005+0.000005)-Berekening!E10)),IF((INDEX(T1_Rente,4)-0.005+0.000005)=Berekening!E10,IF(Berekening!E45-(INDEX(T1_Rente,4)-0.005+0.000005)*Berekening!E46&gt;0,-1000000000000,1000000000000),-1000000000000)))</f>
        <v>0</v>
      </c>
      <c r="F25" s="29" t="n">
        <f aca="false">MAX(0,IF((INDEX(T1_Rente,4)+0.000005)&gt;Berekening!F10,(Berekening!F45-(INDEX(T1_Rente,4)+0.000005)*Berekening!F46)/(360*((INDEX(T1_Rente,4)+0.000005)-Berekening!F10)),IF((INDEX(T1_Rente,4)+0.000005)=Berekening!F10,IF(Berekening!F45-(INDEX(T1_Rente,4)+0.000005)*Berekening!F46&lt;=0,-1000000000000,1000000000000),-1000000000000)),IF((INDEX(T1_Rente,4)-0.005+0.000005)&lt;Berekening!F10,(Berekening!F45-(INDEX(T1_Rente,4)-0.005+0.000005)*Berekening!F46)/(360*((INDEX(T1_Rente,4)-0.005+0.000005)-Berekening!F10)),IF((INDEX(T1_Rente,4)-0.005+0.000005)=Berekening!F10,IF(Berekening!F45-(INDEX(T1_Rente,4)-0.005+0.000005)*Berekening!F46&gt;0,-1000000000000,1000000000000),-1000000000000)))</f>
        <v>0</v>
      </c>
      <c r="G25" s="29" t="n">
        <f aca="false">MAX(0,IF((INDEX(T1_Rente,4)+0.000005)&gt;Berekening!G10,(Berekening!G45-(INDEX(T1_Rente,4)+0.000005)*Berekening!G46)/(360*((INDEX(T1_Rente,4)+0.000005)-Berekening!G10)),IF((INDEX(T1_Rente,4)+0.000005)=Berekening!G10,IF(Berekening!G45-(INDEX(T1_Rente,4)+0.000005)*Berekening!G46&lt;=0,-1000000000000,1000000000000),-1000000000000)),IF((INDEX(T1_Rente,4)-0.005+0.000005)&lt;Berekening!G10,(Berekening!G45-(INDEX(T1_Rente,4)-0.005+0.000005)*Berekening!G46)/(360*((INDEX(T1_Rente,4)-0.005+0.000005)-Berekening!G10)),IF((INDEX(T1_Rente,4)-0.005+0.000005)=Berekening!G10,IF(Berekening!G45-(INDEX(T1_Rente,4)-0.005+0.000005)*Berekening!G46&gt;0,-1000000000000,1000000000000),-1000000000000)))</f>
        <v>-0</v>
      </c>
      <c r="H25" s="29" t="n">
        <f aca="false">MAX(0,IF((INDEX(T1_Rente,4)+0.000005)&gt;Berekening!H10,(Berekening!H45-(INDEX(T1_Rente,4)+0.000005)*Berekening!H46)/(360*((INDEX(T1_Rente,4)+0.000005)-Berekening!H10)),IF((INDEX(T1_Rente,4)+0.000005)=Berekening!H10,IF(Berekening!H45-(INDEX(T1_Rente,4)+0.000005)*Berekening!H46&lt;=0,-1000000000000,1000000000000),-1000000000000)),IF((INDEX(T1_Rente,4)-0.005+0.000005)&lt;Berekening!H10,(Berekening!H45-(INDEX(T1_Rente,4)-0.005+0.000005)*Berekening!H46)/(360*((INDEX(T1_Rente,4)-0.005+0.000005)-Berekening!H10)),IF((INDEX(T1_Rente,4)-0.005+0.000005)=Berekening!H10,IF(Berekening!H45-(INDEX(T1_Rente,4)-0.005+0.000005)*Berekening!H46&gt;0,-1000000000000,1000000000000),-1000000000000)))</f>
        <v>-0</v>
      </c>
      <c r="I25" s="29" t="n">
        <f aca="false">MAX(0,IF((INDEX(T1_Rente,4)+0.000005)&gt;Berekening!I10,(Berekening!I45-(INDEX(T1_Rente,4)+0.000005)*Berekening!I46)/(360*((INDEX(T1_Rente,4)+0.000005)-Berekening!I10)),IF((INDEX(T1_Rente,4)+0.000005)=Berekening!I10,IF(Berekening!I45-(INDEX(T1_Rente,4)+0.000005)*Berekening!I46&lt;=0,-1000000000000,1000000000000),-1000000000000)),IF((INDEX(T1_Rente,4)-0.005+0.000005)&lt;Berekening!I10,(Berekening!I45-(INDEX(T1_Rente,4)-0.005+0.000005)*Berekening!I46)/(360*((INDEX(T1_Rente,4)-0.005+0.000005)-Berekening!I10)),IF((INDEX(T1_Rente,4)-0.005+0.000005)=Berekening!I10,IF(Berekening!I45-(INDEX(T1_Rente,4)-0.005+0.000005)*Berekening!I46&gt;0,-1000000000000,1000000000000),-1000000000000)))</f>
        <v>-0</v>
      </c>
      <c r="J25" s="29" t="n">
        <f aca="false">MAX(0,IF((INDEX(T1_Rente,4)+0.000005)&gt;Berekening!J10,(Berekening!J45-(INDEX(T1_Rente,4)+0.000005)*Berekening!J46)/(360*((INDEX(T1_Rente,4)+0.000005)-Berekening!J10)),IF((INDEX(T1_Rente,4)+0.000005)=Berekening!J10,IF(Berekening!J45-(INDEX(T1_Rente,4)+0.000005)*Berekening!J46&lt;=0,-1000000000000,1000000000000),-1000000000000)),IF((INDEX(T1_Rente,4)-0.005+0.000005)&lt;Berekening!J10,(Berekening!J45-(INDEX(T1_Rente,4)-0.005+0.000005)*Berekening!J46)/(360*((INDEX(T1_Rente,4)-0.005+0.000005)-Berekening!J10)),IF((INDEX(T1_Rente,4)-0.005+0.000005)=Berekening!J10,IF(Berekening!J45-(INDEX(T1_Rente,4)-0.005+0.000005)*Berekening!J46&gt;0,-1000000000000,1000000000000),-1000000000000)))</f>
        <v>0</v>
      </c>
      <c r="K25" s="29" t="n">
        <f aca="false">MAX(0,IF((INDEX(T1_Rente,4)+0.000005)&gt;Berekening!K10,(Berekening!K45-(INDEX(T1_Rente,4)+0.000005)*Berekening!K46)/(360*((INDEX(T1_Rente,4)+0.000005)-Berekening!K10)),IF((INDEX(T1_Rente,4)+0.000005)=Berekening!K10,IF(Berekening!K45-(INDEX(T1_Rente,4)+0.000005)*Berekening!K46&lt;=0,-1000000000000,1000000000000),-1000000000000)),IF((INDEX(T1_Rente,4)-0.005+0.000005)&lt;Berekening!K10,(Berekening!K45-(INDEX(T1_Rente,4)-0.005+0.000005)*Berekening!K46)/(360*((INDEX(T1_Rente,4)-0.005+0.000005)-Berekening!K10)),IF((INDEX(T1_Rente,4)-0.005+0.000005)=Berekening!K10,IF(Berekening!K45-(INDEX(T1_Rente,4)-0.005+0.000005)*Berekening!K46&gt;0,-1000000000000,1000000000000),-1000000000000)))</f>
        <v>0</v>
      </c>
      <c r="L25" s="29" t="n">
        <f aca="false">MAX(0,IF((INDEX(T1_Rente,4)+0.000005)&gt;Berekening!L10,(Berekening!L45-(INDEX(T1_Rente,4)+0.000005)*Berekening!L46)/(360*((INDEX(T1_Rente,4)+0.000005)-Berekening!L10)),IF((INDEX(T1_Rente,4)+0.000005)=Berekening!L10,IF(Berekening!L45-(INDEX(T1_Rente,4)+0.000005)*Berekening!L46&lt;=0,-1000000000000,1000000000000),-1000000000000)),IF((INDEX(T1_Rente,4)-0.005+0.000005)&lt;Berekening!L10,(Berekening!L45-(INDEX(T1_Rente,4)-0.005+0.000005)*Berekening!L46)/(360*((INDEX(T1_Rente,4)-0.005+0.000005)-Berekening!L10)),IF((INDEX(T1_Rente,4)-0.005+0.000005)=Berekening!L10,IF(Berekening!L45-(INDEX(T1_Rente,4)-0.005+0.000005)*Berekening!L46&gt;0,-1000000000000,1000000000000),-1000000000000)))</f>
        <v>0</v>
      </c>
      <c r="M25" s="29" t="n">
        <f aca="false">MAX(0,IF((INDEX(T1_Rente,4)+0.000005)&gt;Berekening!M10,(Berekening!M45-(INDEX(T1_Rente,4)+0.000005)*Berekening!M46)/(360*((INDEX(T1_Rente,4)+0.000005)-Berekening!M10)),IF((INDEX(T1_Rente,4)+0.000005)=Berekening!M10,IF(Berekening!M45-(INDEX(T1_Rente,4)+0.000005)*Berekening!M46&lt;=0,-1000000000000,1000000000000),-1000000000000)),IF((INDEX(T1_Rente,4)-0.005+0.000005)&lt;Berekening!M10,(Berekening!M45-(INDEX(T1_Rente,4)-0.005+0.000005)*Berekening!M46)/(360*((INDEX(T1_Rente,4)-0.005+0.000005)-Berekening!M10)),IF((INDEX(T1_Rente,4)-0.005+0.000005)=Berekening!M10,IF(Berekening!M45-(INDEX(T1_Rente,4)-0.005+0.000005)*Berekening!M46&gt;0,-1000000000000,1000000000000),-1000000000000)))</f>
        <v>0</v>
      </c>
    </row>
    <row r="26" customFormat="false" ht="15" hidden="false" customHeight="false" outlineLevel="0" collapsed="false">
      <c r="A26" s="9" t="s">
        <v>309</v>
      </c>
      <c r="B26" s="19" t="s">
        <v>101</v>
      </c>
      <c r="C26" s="29" t="n">
        <f aca="false">MIN(1000000000000,IF((INDEX(T1_Rente,4)+0.000005)&lt;Berekening!C10,(Berekening!C45-(INDEX(T1_Rente,4)+0.000005)*Berekening!C46)/(360*((INDEX(T1_Rente,4)+0.000005)-Berekening!C10)),1000000000000),IF((INDEX(T1_Rente,4)-0.005+0.000005)&gt;Berekening!C10,(Berekening!C45-(INDEX(T1_Rente,4)-0.005+0.000005)*Berekening!C46)/(360*((INDEX(T1_Rente,4)-0.005+0.000005)-Berekening!C10)),1000000000000))</f>
        <v>-17437.9391305121</v>
      </c>
      <c r="D26" s="29" t="n">
        <f aca="false">MIN(1000000000000,IF((INDEX(T1_Rente,4)+0.000005)&lt;Berekening!D10,(Berekening!D45-(INDEX(T1_Rente,4)+0.000005)*Berekening!D46)/(360*((INDEX(T1_Rente,4)+0.000005)-Berekening!D10)),1000000000000),IF((INDEX(T1_Rente,4)-0.005+0.000005)&gt;Berekening!D10,(Berekening!D45-(INDEX(T1_Rente,4)-0.005+0.000005)*Berekening!D46)/(360*((INDEX(T1_Rente,4)-0.005+0.000005)-Berekening!D10)),1000000000000))</f>
        <v>-77679.6357176679</v>
      </c>
      <c r="E26" s="29" t="n">
        <f aca="false">MIN(1000000000000,IF((INDEX(T1_Rente,4)+0.000005)&lt;Berekening!E10,(Berekening!E45-(INDEX(T1_Rente,4)+0.000005)*Berekening!E46)/(360*((INDEX(T1_Rente,4)+0.000005)-Berekening!E10)),1000000000000),IF((INDEX(T1_Rente,4)-0.005+0.000005)&gt;Berekening!E10,(Berekening!E45-(INDEX(T1_Rente,4)-0.005+0.000005)*Berekening!E46)/(360*((INDEX(T1_Rente,4)-0.005+0.000005)-Berekening!E10)),1000000000000))</f>
        <v>-677957.738183486</v>
      </c>
      <c r="F26" s="29" t="n">
        <f aca="false">MIN(1000000000000,IF((INDEX(T1_Rente,4)+0.000005)&lt;Berekening!F10,(Berekening!F45-(INDEX(T1_Rente,4)+0.000005)*Berekening!F46)/(360*((INDEX(T1_Rente,4)+0.000005)-Berekening!F10)),1000000000000),IF((INDEX(T1_Rente,4)-0.005+0.000005)&gt;Berekening!F10,(Berekening!F45-(INDEX(T1_Rente,4)-0.005+0.000005)*Berekening!F46)/(360*((INDEX(T1_Rente,4)-0.005+0.000005)-Berekening!F10)),1000000000000))</f>
        <v>-14734.3826761691</v>
      </c>
      <c r="G26" s="29" t="n">
        <f aca="false">MIN(1000000000000,IF((INDEX(T1_Rente,4)+0.000005)&lt;Berekening!G10,(Berekening!G45-(INDEX(T1_Rente,4)+0.000005)*Berekening!G46)/(360*((INDEX(T1_Rente,4)+0.000005)-Berekening!G10)),1000000000000),IF((INDEX(T1_Rente,4)-0.005+0.000005)&gt;Berekening!G10,(Berekening!G45-(INDEX(T1_Rente,4)-0.005+0.000005)*Berekening!G46)/(360*((INDEX(T1_Rente,4)-0.005+0.000005)-Berekening!G10)),1000000000000))</f>
        <v>-0</v>
      </c>
      <c r="H26" s="29" t="n">
        <f aca="false">MIN(1000000000000,IF((INDEX(T1_Rente,4)+0.000005)&lt;Berekening!H10,(Berekening!H45-(INDEX(T1_Rente,4)+0.000005)*Berekening!H46)/(360*((INDEX(T1_Rente,4)+0.000005)-Berekening!H10)),1000000000000),IF((INDEX(T1_Rente,4)-0.005+0.000005)&gt;Berekening!H10,(Berekening!H45-(INDEX(T1_Rente,4)-0.005+0.000005)*Berekening!H46)/(360*((INDEX(T1_Rente,4)-0.005+0.000005)-Berekening!H10)),1000000000000))</f>
        <v>-0</v>
      </c>
      <c r="I26" s="29" t="n">
        <f aca="false">MIN(1000000000000,IF((INDEX(T1_Rente,4)+0.000005)&lt;Berekening!I10,(Berekening!I45-(INDEX(T1_Rente,4)+0.000005)*Berekening!I46)/(360*((INDEX(T1_Rente,4)+0.000005)-Berekening!I10)),1000000000000),IF((INDEX(T1_Rente,4)-0.005+0.000005)&gt;Berekening!I10,(Berekening!I45-(INDEX(T1_Rente,4)-0.005+0.000005)*Berekening!I46)/(360*((INDEX(T1_Rente,4)-0.005+0.000005)-Berekening!I10)),1000000000000))</f>
        <v>-0</v>
      </c>
      <c r="J26" s="29" t="n">
        <f aca="false">MIN(1000000000000,IF((INDEX(T1_Rente,4)+0.000005)&lt;Berekening!J10,(Berekening!J45-(INDEX(T1_Rente,4)+0.000005)*Berekening!J46)/(360*((INDEX(T1_Rente,4)+0.000005)-Berekening!J10)),1000000000000),IF((INDEX(T1_Rente,4)-0.005+0.000005)&gt;Berekening!J10,(Berekening!J45-(INDEX(T1_Rente,4)-0.005+0.000005)*Berekening!J46)/(360*((INDEX(T1_Rente,4)-0.005+0.000005)-Berekening!J10)),1000000000000))</f>
        <v>-17437.9391305121</v>
      </c>
      <c r="K26" s="29" t="n">
        <f aca="false">MIN(1000000000000,IF((INDEX(T1_Rente,4)+0.000005)&lt;Berekening!K10,(Berekening!K45-(INDEX(T1_Rente,4)+0.000005)*Berekening!K46)/(360*((INDEX(T1_Rente,4)+0.000005)-Berekening!K10)),1000000000000),IF((INDEX(T1_Rente,4)-0.005+0.000005)&gt;Berekening!K10,(Berekening!K45-(INDEX(T1_Rente,4)-0.005+0.000005)*Berekening!K46)/(360*((INDEX(T1_Rente,4)-0.005+0.000005)-Berekening!K10)),1000000000000))</f>
        <v>-561498.470948012</v>
      </c>
      <c r="L26" s="29" t="n">
        <f aca="false">MIN(1000000000000,IF((INDEX(T1_Rente,4)+0.000005)&lt;Berekening!L10,(Berekening!L45-(INDEX(T1_Rente,4)+0.000005)*Berekening!L46)/(360*((INDEX(T1_Rente,4)+0.000005)-Berekening!L10)),1000000000000),IF((INDEX(T1_Rente,4)-0.005+0.000005)&gt;Berekening!L10,(Berekening!L45-(INDEX(T1_Rente,4)-0.005+0.000005)*Berekening!L46)/(360*((INDEX(T1_Rente,4)-0.005+0.000005)-Berekening!L10)),1000000000000))</f>
        <v>-17437.9391305121</v>
      </c>
      <c r="M26" s="29" t="n">
        <f aca="false">MIN(1000000000000,IF((INDEX(T1_Rente,4)+0.000005)&lt;Berekening!M10,(Berekening!M45-(INDEX(T1_Rente,4)+0.000005)*Berekening!M46)/(360*((INDEX(T1_Rente,4)+0.000005)-Berekening!M10)),1000000000000),IF((INDEX(T1_Rente,4)-0.005+0.000005)&gt;Berekening!M10,(Berekening!M45-(INDEX(T1_Rente,4)-0.005+0.000005)*Berekening!M46)/(360*((INDEX(T1_Rente,4)-0.005+0.000005)-Berekening!M10)),1000000000000))</f>
        <v>-17437.9391305121</v>
      </c>
    </row>
    <row r="27" customFormat="false" ht="15" hidden="false" customHeight="false" outlineLevel="0" collapsed="false">
      <c r="A27" s="9" t="s">
        <v>310</v>
      </c>
      <c r="B27" s="19" t="s">
        <v>101</v>
      </c>
      <c r="C27" s="29" t="n">
        <f aca="false">IF(C25&gt;C26,-1,IF(C24&lt;C25-0.000000001,-1,IF(C24&gt;C26,MAX(C25,C26-1),C24)))</f>
        <v>-1</v>
      </c>
      <c r="D27" s="29" t="n">
        <f aca="false">IF(D25&gt;D26,-1,IF(D24&lt;D25-0.000000001,-1,IF(D24&gt;D26,MAX(D25,D26-1),D24)))</f>
        <v>-1</v>
      </c>
      <c r="E27" s="29" t="n">
        <f aca="false">IF(E25&gt;E26,-1,IF(E24&lt;E25-0.000000001,-1,IF(E24&gt;E26,MAX(E25,E26-1),E24)))</f>
        <v>-1</v>
      </c>
      <c r="F27" s="29" t="n">
        <f aca="false">IF(F25&gt;F26,-1,IF(F24&lt;F25-0.000000001,-1,IF(F24&gt;F26,MAX(F25,F26-1),F24)))</f>
        <v>-1</v>
      </c>
      <c r="G27" s="29" t="n">
        <f aca="false">IF(G25&gt;G26,-1,IF(G24&lt;G25-0.000000001,-1,IF(G24&gt;G26,MAX(G25,G26-1),G24)))</f>
        <v>-0</v>
      </c>
      <c r="H27" s="29" t="n">
        <f aca="false">IF(H25&gt;H26,-1,IF(H24&lt;H25-0.000000001,-1,IF(H24&gt;H26,MAX(H25,H26-1),H24)))</f>
        <v>-0</v>
      </c>
      <c r="I27" s="29" t="n">
        <f aca="false">IF(I25&gt;I26,-1,IF(I24&lt;I25-0.000000001,-1,IF(I24&gt;I26,MAX(I25,I26-1),I24)))</f>
        <v>-0</v>
      </c>
      <c r="J27" s="29" t="n">
        <f aca="false">IF(J25&gt;J26,-1,IF(J24&lt;J25-0.000000001,-1,IF(J24&gt;J26,MAX(J25,J26-1),J24)))</f>
        <v>-1</v>
      </c>
      <c r="K27" s="29" t="n">
        <f aca="false">IF(K25&gt;K26,-1,IF(K24&lt;K25-0.000000001,-1,IF(K24&gt;K26,MAX(K25,K26-1),K24)))</f>
        <v>-1</v>
      </c>
      <c r="L27" s="29" t="n">
        <f aca="false">IF(L25&gt;L26,-1,IF(L24&lt;L25-0.000000001,-1,IF(L24&gt;L26,MAX(L25,L26-1),L24)))</f>
        <v>-1</v>
      </c>
      <c r="M27" s="29" t="n">
        <f aca="false">IF(M25&gt;M26,-1,IF(M24&lt;M25-0.000000001,-1,IF(M24&gt;M26,MAX(M25,M26-1),M24)))</f>
        <v>-1</v>
      </c>
    </row>
    <row r="28" customFormat="false" ht="15" hidden="false" customHeight="false" outlineLevel="0" collapsed="false">
      <c r="A28" s="9" t="s">
        <v>311</v>
      </c>
      <c r="B28" s="19" t="s">
        <v>157</v>
      </c>
      <c r="C28" s="38" t="n">
        <f aca="false">INDEX(T1_Tabel,Berekening!C80,5)+(Berekening!C79-INDEX(T1_Inkomen,Berekening!C80))/(INDEX(T1_Inkomen,Berekening!C80+1)-INDEX(T1_Inkomen,Berekening!C80))*(INDEX(T1_Tabel,Berekening!C80+1,5)-INDEX(T1_Tabel,Berekening!C80,5))</f>
        <v>0.2645</v>
      </c>
      <c r="D28" s="38" t="n">
        <f aca="false">INDEX(T1_Tabel,Berekening!D80,5)+(Berekening!D79-INDEX(T1_Inkomen,Berekening!D80))/(INDEX(T1_Inkomen,Berekening!D80+1)-INDEX(T1_Inkomen,Berekening!D80))*(INDEX(T1_Tabel,Berekening!D80+1,5)-INDEX(T1_Tabel,Berekening!D80,5))</f>
        <v>0.2645</v>
      </c>
      <c r="E28" s="38" t="n">
        <f aca="false">INDEX(T1_Tabel,Berekening!E80,5)+(Berekening!E79-INDEX(T1_Inkomen,Berekening!E80))/(INDEX(T1_Inkomen,Berekening!E80+1)-INDEX(T1_Inkomen,Berekening!E80))*(INDEX(T1_Tabel,Berekening!E80+1,5)-INDEX(T1_Tabel,Berekening!E80,5))</f>
        <v>0.2645</v>
      </c>
      <c r="F28" s="38" t="n">
        <f aca="false">INDEX(T1_Tabel,Berekening!F80,5)+(Berekening!F79-INDEX(T1_Inkomen,Berekening!F80))/(INDEX(T1_Inkomen,Berekening!F80+1)-INDEX(T1_Inkomen,Berekening!F80))*(INDEX(T1_Tabel,Berekening!F80+1,5)-INDEX(T1_Tabel,Berekening!F80,5))</f>
        <v>0.2645</v>
      </c>
      <c r="G28" s="38" t="n">
        <f aca="false">INDEX(T1_Tabel,Berekening!G80,5)+(Berekening!G79-INDEX(T1_Inkomen,Berekening!G80))/(INDEX(T1_Inkomen,Berekening!G80+1)-INDEX(T1_Inkomen,Berekening!G80))*(INDEX(T1_Tabel,Berekening!G80+1,5)-INDEX(T1_Tabel,Berekening!G80,5))</f>
        <v>0.2165</v>
      </c>
      <c r="H28" s="38" t="n">
        <f aca="false">INDEX(T1_Tabel,Berekening!H80,5)+(Berekening!H79-INDEX(T1_Inkomen,Berekening!H80))/(INDEX(T1_Inkomen,Berekening!H80+1)-INDEX(T1_Inkomen,Berekening!H80))*(INDEX(T1_Tabel,Berekening!H80+1,5)-INDEX(T1_Tabel,Berekening!H80,5))</f>
        <v>0.2645</v>
      </c>
      <c r="I28" s="38" t="n">
        <f aca="false">INDEX(T1_Tabel,Berekening!I80,5)+(Berekening!I79-INDEX(T1_Inkomen,Berekening!I80))/(INDEX(T1_Inkomen,Berekening!I80+1)-INDEX(T1_Inkomen,Berekening!I80))*(INDEX(T1_Tabel,Berekening!I80+1,5)-INDEX(T1_Tabel,Berekening!I80,5))</f>
        <v>0.2645</v>
      </c>
      <c r="J28" s="38" t="n">
        <f aca="false">INDEX(T1_Tabel,Berekening!J80,5)+(Berekening!J79-INDEX(T1_Inkomen,Berekening!J80))/(INDEX(T1_Inkomen,Berekening!J80+1)-INDEX(T1_Inkomen,Berekening!J80))*(INDEX(T1_Tabel,Berekening!J80+1,5)-INDEX(T1_Tabel,Berekening!J80,5))</f>
        <v>0.2645</v>
      </c>
      <c r="K28" s="38" t="n">
        <f aca="false">INDEX(T1_Tabel,Berekening!K80,5)+(Berekening!K79-INDEX(T1_Inkomen,Berekening!K80))/(INDEX(T1_Inkomen,Berekening!K80+1)-INDEX(T1_Inkomen,Berekening!K80))*(INDEX(T1_Tabel,Berekening!K80+1,5)-INDEX(T1_Tabel,Berekening!K80,5))</f>
        <v>0.2645</v>
      </c>
      <c r="L28" s="38" t="n">
        <f aca="false">INDEX(T1_Tabel,Berekening!L80,5)+(Berekening!L79-INDEX(T1_Inkomen,Berekening!L80))/(INDEX(T1_Inkomen,Berekening!L80+1)-INDEX(T1_Inkomen,Berekening!L80))*(INDEX(T1_Tabel,Berekening!L80+1,5)-INDEX(T1_Tabel,Berekening!L80,5))</f>
        <v>0.2645</v>
      </c>
      <c r="M28" s="38" t="n">
        <f aca="false">INDEX(T1_Tabel,Berekening!M80,5)+(Berekening!M79-INDEX(T1_Inkomen,Berekening!M80))/(INDEX(T1_Inkomen,Berekening!M80+1)-INDEX(T1_Inkomen,Berekening!M80))*(INDEX(T1_Tabel,Berekening!M80+1,5)-INDEX(T1_Tabel,Berekening!M80,5))</f>
        <v>0.2645</v>
      </c>
    </row>
    <row r="29" customFormat="false" ht="15" hidden="false" customHeight="false" outlineLevel="0" collapsed="false">
      <c r="A29" s="9" t="s">
        <v>312</v>
      </c>
      <c r="B29" s="19" t="s">
        <v>101</v>
      </c>
      <c r="C29" s="29" t="n">
        <f aca="false">MAX(0,(C28*C6/12-Berekening!C18-Berekening!C44)*Berekening!C11-Berekening!C75+C7)</f>
        <v>293967.555870693</v>
      </c>
      <c r="D29" s="29" t="n">
        <f aca="false">MAX(0,(D28*D6/12-Berekening!D18-Berekening!D44)*Berekening!D11-Berekening!D75+D7)</f>
        <v>323019.107824502</v>
      </c>
      <c r="E29" s="29" t="n">
        <f aca="false">MAX(0,(E28*E6/12-Berekening!E18-Berekening!E44)*Berekening!E11-Berekening!E75+E7)</f>
        <v>171320.012532158</v>
      </c>
      <c r="F29" s="29" t="n">
        <f aca="false">MAX(0,(F28*F6/12-Berekening!F18-Berekening!F44)*Berekening!F11-Berekening!F75+F7)</f>
        <v>284030.838972537</v>
      </c>
      <c r="G29" s="29" t="n">
        <f aca="false">MAX(0,(G28*G6/12-Berekening!G18-Berekening!G44)*Berekening!G11-Berekening!G75+G7)</f>
        <v>230961.937967832</v>
      </c>
      <c r="H29" s="29" t="n">
        <f aca="false">MAX(0,(H28*H6/12-Berekening!H18-Berekening!H44)*Berekening!H11-Berekening!H75+H7)</f>
        <v>618113.020862043</v>
      </c>
      <c r="I29" s="29" t="n">
        <f aca="false">MAX(0,(I28*I6/12-Berekening!I18-Berekening!I44)*Berekening!I11-Berekening!I75+I7)</f>
        <v>846739.462644378</v>
      </c>
      <c r="J29" s="29" t="n">
        <f aca="false">MAX(0,(J28*J6/12-Berekening!J18-Berekening!J44)*Berekening!J11-Berekening!J75+J7)</f>
        <v>331253.625496337</v>
      </c>
      <c r="K29" s="29" t="n">
        <f aca="false">MAX(0,(K28*K6/12-Berekening!K18-Berekening!K44)*Berekening!K11-Berekening!K75+K7)</f>
        <v>83585.0909091769</v>
      </c>
      <c r="L29" s="29" t="n">
        <f aca="false">MAX(0,(L28*L6/12-Berekening!L18-Berekening!L44)*Berekening!L11-Berekening!L75+L7)</f>
        <v>0</v>
      </c>
      <c r="M29" s="29" t="n">
        <f aca="false">MAX(0,(M28*M6/12-Berekening!M18-Berekening!M44)*Berekening!M11-Berekening!M75+M7)</f>
        <v>293967.555870693</v>
      </c>
    </row>
    <row r="30" customFormat="false" ht="15" hidden="false" customHeight="false" outlineLevel="0" collapsed="false">
      <c r="A30" s="9" t="s">
        <v>313</v>
      </c>
      <c r="B30" s="19" t="s">
        <v>101</v>
      </c>
      <c r="C30" s="29" t="n">
        <f aca="false">MAX(0,IF((INDEX(T1_Rente,5)+0.000005)&gt;Berekening!C10,(Berekening!C45-(INDEX(T1_Rente,5)+0.000005)*Berekening!C46)/(360*((INDEX(T1_Rente,5)+0.000005)-Berekening!C10)),IF((INDEX(T1_Rente,5)+0.000005)=Berekening!C10,IF(Berekening!C45-(INDEX(T1_Rente,5)+0.000005)*Berekening!C46&lt;=0,-1000000000000,1000000000000),-1000000000000)),IF((INDEX(T1_Rente,5)-0.005+0.000005)&lt;Berekening!C10,(Berekening!C45-(INDEX(T1_Rente,5)-0.005+0.000005)*Berekening!C46)/(360*((INDEX(T1_Rente,5)-0.005+0.000005)-Berekening!C10)),IF((INDEX(T1_Rente,5)-0.005+0.000005)=Berekening!C10,IF(Berekening!C45-(INDEX(T1_Rente,5)-0.005+0.000005)*Berekening!C46&gt;0,-1000000000000,1000000000000),-1000000000000)))</f>
        <v>0</v>
      </c>
      <c r="D30" s="29" t="n">
        <f aca="false">MAX(0,IF((INDEX(T1_Rente,5)+0.000005)&gt;Berekening!D10,(Berekening!D45-(INDEX(T1_Rente,5)+0.000005)*Berekening!D46)/(360*((INDEX(T1_Rente,5)+0.000005)-Berekening!D10)),IF((INDEX(T1_Rente,5)+0.000005)=Berekening!D10,IF(Berekening!D45-(INDEX(T1_Rente,5)+0.000005)*Berekening!D46&lt;=0,-1000000000000,1000000000000),-1000000000000)),IF((INDEX(T1_Rente,5)-0.005+0.000005)&lt;Berekening!D10,(Berekening!D45-(INDEX(T1_Rente,5)-0.005+0.000005)*Berekening!D46)/(360*((INDEX(T1_Rente,5)-0.005+0.000005)-Berekening!D10)),IF((INDEX(T1_Rente,5)-0.005+0.000005)=Berekening!D10,IF(Berekening!D45-(INDEX(T1_Rente,5)-0.005+0.000005)*Berekening!D46&gt;0,-1000000000000,1000000000000),-1000000000000)))</f>
        <v>0</v>
      </c>
      <c r="E30" s="29" t="n">
        <f aca="false">MAX(0,IF((INDEX(T1_Rente,5)+0.000005)&gt;Berekening!E10,(Berekening!E45-(INDEX(T1_Rente,5)+0.000005)*Berekening!E46)/(360*((INDEX(T1_Rente,5)+0.000005)-Berekening!E10)),IF((INDEX(T1_Rente,5)+0.000005)=Berekening!E10,IF(Berekening!E45-(INDEX(T1_Rente,5)+0.000005)*Berekening!E46&lt;=0,-1000000000000,1000000000000),-1000000000000)),IF((INDEX(T1_Rente,5)-0.005+0.000005)&lt;Berekening!E10,(Berekening!E45-(INDEX(T1_Rente,5)-0.005+0.000005)*Berekening!E46)/(360*((INDEX(T1_Rente,5)-0.005+0.000005)-Berekening!E10)),IF((INDEX(T1_Rente,5)-0.005+0.000005)=Berekening!E10,IF(Berekening!E45-(INDEX(T1_Rente,5)-0.005+0.000005)*Berekening!E46&gt;0,-1000000000000,1000000000000),-1000000000000)))</f>
        <v>0</v>
      </c>
      <c r="F30" s="29" t="n">
        <f aca="false">MAX(0,IF((INDEX(T1_Rente,5)+0.000005)&gt;Berekening!F10,(Berekening!F45-(INDEX(T1_Rente,5)+0.000005)*Berekening!F46)/(360*((INDEX(T1_Rente,5)+0.000005)-Berekening!F10)),IF((INDEX(T1_Rente,5)+0.000005)=Berekening!F10,IF(Berekening!F45-(INDEX(T1_Rente,5)+0.000005)*Berekening!F46&lt;=0,-1000000000000,1000000000000),-1000000000000)),IF((INDEX(T1_Rente,5)-0.005+0.000005)&lt;Berekening!F10,(Berekening!F45-(INDEX(T1_Rente,5)-0.005+0.000005)*Berekening!F46)/(360*((INDEX(T1_Rente,5)-0.005+0.000005)-Berekening!F10)),IF((INDEX(T1_Rente,5)-0.005+0.000005)=Berekening!F10,IF(Berekening!F45-(INDEX(T1_Rente,5)-0.005+0.000005)*Berekening!F46&gt;0,-1000000000000,1000000000000),-1000000000000)))</f>
        <v>0</v>
      </c>
      <c r="G30" s="29" t="n">
        <f aca="false">MAX(0,IF((INDEX(T1_Rente,5)+0.000005)&gt;Berekening!G10,(Berekening!G45-(INDEX(T1_Rente,5)+0.000005)*Berekening!G46)/(360*((INDEX(T1_Rente,5)+0.000005)-Berekening!G10)),IF((INDEX(T1_Rente,5)+0.000005)=Berekening!G10,IF(Berekening!G45-(INDEX(T1_Rente,5)+0.000005)*Berekening!G46&lt;=0,-1000000000000,1000000000000),-1000000000000)),IF((INDEX(T1_Rente,5)-0.005+0.000005)&lt;Berekening!G10,(Berekening!G45-(INDEX(T1_Rente,5)-0.005+0.000005)*Berekening!G46)/(360*((INDEX(T1_Rente,5)-0.005+0.000005)-Berekening!G10)),IF((INDEX(T1_Rente,5)-0.005+0.000005)=Berekening!G10,IF(Berekening!G45-(INDEX(T1_Rente,5)-0.005+0.000005)*Berekening!G46&gt;0,-1000000000000,1000000000000),-1000000000000)))</f>
        <v>-0</v>
      </c>
      <c r="H30" s="29" t="n">
        <f aca="false">MAX(0,IF((INDEX(T1_Rente,5)+0.000005)&gt;Berekening!H10,(Berekening!H45-(INDEX(T1_Rente,5)+0.000005)*Berekening!H46)/(360*((INDEX(T1_Rente,5)+0.000005)-Berekening!H10)),IF((INDEX(T1_Rente,5)+0.000005)=Berekening!H10,IF(Berekening!H45-(INDEX(T1_Rente,5)+0.000005)*Berekening!H46&lt;=0,-1000000000000,1000000000000),-1000000000000)),IF((INDEX(T1_Rente,5)-0.005+0.000005)&lt;Berekening!H10,(Berekening!H45-(INDEX(T1_Rente,5)-0.005+0.000005)*Berekening!H46)/(360*((INDEX(T1_Rente,5)-0.005+0.000005)-Berekening!H10)),IF((INDEX(T1_Rente,5)-0.005+0.000005)=Berekening!H10,IF(Berekening!H45-(INDEX(T1_Rente,5)-0.005+0.000005)*Berekening!H46&gt;0,-1000000000000,1000000000000),-1000000000000)))</f>
        <v>-0</v>
      </c>
      <c r="I30" s="29" t="n">
        <f aca="false">MAX(0,IF((INDEX(T1_Rente,5)+0.000005)&gt;Berekening!I10,(Berekening!I45-(INDEX(T1_Rente,5)+0.000005)*Berekening!I46)/(360*((INDEX(T1_Rente,5)+0.000005)-Berekening!I10)),IF((INDEX(T1_Rente,5)+0.000005)=Berekening!I10,IF(Berekening!I45-(INDEX(T1_Rente,5)+0.000005)*Berekening!I46&lt;=0,-1000000000000,1000000000000),-1000000000000)),IF((INDEX(T1_Rente,5)-0.005+0.000005)&lt;Berekening!I10,(Berekening!I45-(INDEX(T1_Rente,5)-0.005+0.000005)*Berekening!I46)/(360*((INDEX(T1_Rente,5)-0.005+0.000005)-Berekening!I10)),IF((INDEX(T1_Rente,5)-0.005+0.000005)=Berekening!I10,IF(Berekening!I45-(INDEX(T1_Rente,5)-0.005+0.000005)*Berekening!I46&gt;0,-1000000000000,1000000000000),-1000000000000)))</f>
        <v>-0</v>
      </c>
      <c r="J30" s="29" t="n">
        <f aca="false">MAX(0,IF((INDEX(T1_Rente,5)+0.000005)&gt;Berekening!J10,(Berekening!J45-(INDEX(T1_Rente,5)+0.000005)*Berekening!J46)/(360*((INDEX(T1_Rente,5)+0.000005)-Berekening!J10)),IF((INDEX(T1_Rente,5)+0.000005)=Berekening!J10,IF(Berekening!J45-(INDEX(T1_Rente,5)+0.000005)*Berekening!J46&lt;=0,-1000000000000,1000000000000),-1000000000000)),IF((INDEX(T1_Rente,5)-0.005+0.000005)&lt;Berekening!J10,(Berekening!J45-(INDEX(T1_Rente,5)-0.005+0.000005)*Berekening!J46)/(360*((INDEX(T1_Rente,5)-0.005+0.000005)-Berekening!J10)),IF((INDEX(T1_Rente,5)-0.005+0.000005)=Berekening!J10,IF(Berekening!J45-(INDEX(T1_Rente,5)-0.005+0.000005)*Berekening!J46&gt;0,-1000000000000,1000000000000),-1000000000000)))</f>
        <v>0</v>
      </c>
      <c r="K30" s="29" t="n">
        <f aca="false">MAX(0,IF((INDEX(T1_Rente,5)+0.000005)&gt;Berekening!K10,(Berekening!K45-(INDEX(T1_Rente,5)+0.000005)*Berekening!K46)/(360*((INDEX(T1_Rente,5)+0.000005)-Berekening!K10)),IF((INDEX(T1_Rente,5)+0.000005)=Berekening!K10,IF(Berekening!K45-(INDEX(T1_Rente,5)+0.000005)*Berekening!K46&lt;=0,-1000000000000,1000000000000),-1000000000000)),IF((INDEX(T1_Rente,5)-0.005+0.000005)&lt;Berekening!K10,(Berekening!K45-(INDEX(T1_Rente,5)-0.005+0.000005)*Berekening!K46)/(360*((INDEX(T1_Rente,5)-0.005+0.000005)-Berekening!K10)),IF((INDEX(T1_Rente,5)-0.005+0.000005)=Berekening!K10,IF(Berekening!K45-(INDEX(T1_Rente,5)-0.005+0.000005)*Berekening!K46&gt;0,-1000000000000,1000000000000),-1000000000000)))</f>
        <v>0</v>
      </c>
      <c r="L30" s="29" t="n">
        <f aca="false">MAX(0,IF((INDEX(T1_Rente,5)+0.000005)&gt;Berekening!L10,(Berekening!L45-(INDEX(T1_Rente,5)+0.000005)*Berekening!L46)/(360*((INDEX(T1_Rente,5)+0.000005)-Berekening!L10)),IF((INDEX(T1_Rente,5)+0.000005)=Berekening!L10,IF(Berekening!L45-(INDEX(T1_Rente,5)+0.000005)*Berekening!L46&lt;=0,-1000000000000,1000000000000),-1000000000000)),IF((INDEX(T1_Rente,5)-0.005+0.000005)&lt;Berekening!L10,(Berekening!L45-(INDEX(T1_Rente,5)-0.005+0.000005)*Berekening!L46)/(360*((INDEX(T1_Rente,5)-0.005+0.000005)-Berekening!L10)),IF((INDEX(T1_Rente,5)-0.005+0.000005)=Berekening!L10,IF(Berekening!L45-(INDEX(T1_Rente,5)-0.005+0.000005)*Berekening!L46&gt;0,-1000000000000,1000000000000),-1000000000000)))</f>
        <v>0</v>
      </c>
      <c r="M30" s="29" t="n">
        <f aca="false">MAX(0,IF((INDEX(T1_Rente,5)+0.000005)&gt;Berekening!M10,(Berekening!M45-(INDEX(T1_Rente,5)+0.000005)*Berekening!M46)/(360*((INDEX(T1_Rente,5)+0.000005)-Berekening!M10)),IF((INDEX(T1_Rente,5)+0.000005)=Berekening!M10,IF(Berekening!M45-(INDEX(T1_Rente,5)+0.000005)*Berekening!M46&lt;=0,-1000000000000,1000000000000),-1000000000000)),IF((INDEX(T1_Rente,5)-0.005+0.000005)&lt;Berekening!M10,(Berekening!M45-(INDEX(T1_Rente,5)-0.005+0.000005)*Berekening!M46)/(360*((INDEX(T1_Rente,5)-0.005+0.000005)-Berekening!M10)),IF((INDEX(T1_Rente,5)-0.005+0.000005)=Berekening!M10,IF(Berekening!M45-(INDEX(T1_Rente,5)-0.005+0.000005)*Berekening!M46&gt;0,-1000000000000,1000000000000),-1000000000000)))</f>
        <v>0</v>
      </c>
    </row>
    <row r="31" customFormat="false" ht="15" hidden="false" customHeight="false" outlineLevel="0" collapsed="false">
      <c r="A31" s="9" t="s">
        <v>314</v>
      </c>
      <c r="B31" s="19" t="s">
        <v>101</v>
      </c>
      <c r="C31" s="29" t="n">
        <f aca="false">MIN(1000000000000,IF((INDEX(T1_Rente,5)+0.000005)&lt;Berekening!C10,(Berekening!C45-(INDEX(T1_Rente,5)+0.000005)*Berekening!C46)/(360*((INDEX(T1_Rente,5)+0.000005)-Berekening!C10)),1000000000000),IF((INDEX(T1_Rente,5)-0.005+0.000005)&gt;Berekening!C10,(Berekening!C45-(INDEX(T1_Rente,5)-0.005+0.000005)*Berekening!C46)/(360*((INDEX(T1_Rente,5)-0.005+0.000005)-Berekening!C10)),1000000000000))</f>
        <v>216025.731404512</v>
      </c>
      <c r="D31" s="29" t="n">
        <f aca="false">MIN(1000000000000,IF((INDEX(T1_Rente,5)+0.000005)&lt;Berekening!D10,(Berekening!D45-(INDEX(T1_Rente,5)+0.000005)*Berekening!D46)/(360*((INDEX(T1_Rente,5)+0.000005)-Berekening!D10)),1000000000000),IF((INDEX(T1_Rente,5)-0.005+0.000005)&gt;Berekening!D10,(Berekening!D45-(INDEX(T1_Rente,5)-0.005+0.000005)*Berekening!D46)/(360*((INDEX(T1_Rente,5)-0.005+0.000005)-Berekening!D10)),1000000000000))</f>
        <v>151858.100424548</v>
      </c>
      <c r="E31" s="29" t="n">
        <f aca="false">MIN(1000000000000,IF((INDEX(T1_Rente,5)+0.000005)&lt;Berekening!E10,(Berekening!E45-(INDEX(T1_Rente,5)+0.000005)*Berekening!E46)/(360*((INDEX(T1_Rente,5)+0.000005)-Berekening!E10)),1000000000000),IF((INDEX(T1_Rente,5)-0.005+0.000005)&gt;Berekening!E10,(Berekening!E45-(INDEX(T1_Rente,5)-0.005+0.000005)*Berekening!E46)/(360*((INDEX(T1_Rente,5)-0.005+0.000005)-Berekening!E10)),1000000000000))</f>
        <v>-722140.052958666</v>
      </c>
      <c r="F31" s="29" t="n">
        <f aca="false">MIN(1000000000000,IF((INDEX(T1_Rente,5)+0.000005)&lt;Berekening!F10,(Berekening!F45-(INDEX(T1_Rente,5)+0.000005)*Berekening!F46)/(360*((INDEX(T1_Rente,5)+0.000005)-Berekening!F10)),1000000000000),IF((INDEX(T1_Rente,5)-0.005+0.000005)&gt;Berekening!F10,(Berekening!F45-(INDEX(T1_Rente,5)-0.005+0.000005)*Berekening!F46)/(360*((INDEX(T1_Rente,5)-0.005+0.000005)-Berekening!F10)),1000000000000))</f>
        <v>171365.52684606</v>
      </c>
      <c r="G31" s="29" t="n">
        <f aca="false">MIN(1000000000000,IF((INDEX(T1_Rente,5)+0.000005)&lt;Berekening!G10,(Berekening!G45-(INDEX(T1_Rente,5)+0.000005)*Berekening!G46)/(360*((INDEX(T1_Rente,5)+0.000005)-Berekening!G10)),1000000000000),IF((INDEX(T1_Rente,5)-0.005+0.000005)&gt;Berekening!G10,(Berekening!G45-(INDEX(T1_Rente,5)-0.005+0.000005)*Berekening!G46)/(360*((INDEX(T1_Rente,5)-0.005+0.000005)-Berekening!G10)),1000000000000))</f>
        <v>-0</v>
      </c>
      <c r="H31" s="29" t="n">
        <f aca="false">MIN(1000000000000,IF((INDEX(T1_Rente,5)+0.000005)&lt;Berekening!H10,(Berekening!H45-(INDEX(T1_Rente,5)+0.000005)*Berekening!H46)/(360*((INDEX(T1_Rente,5)+0.000005)-Berekening!H10)),1000000000000),IF((INDEX(T1_Rente,5)-0.005+0.000005)&gt;Berekening!H10,(Berekening!H45-(INDEX(T1_Rente,5)-0.005+0.000005)*Berekening!H46)/(360*((INDEX(T1_Rente,5)-0.005+0.000005)-Berekening!H10)),1000000000000))</f>
        <v>-0</v>
      </c>
      <c r="I31" s="29" t="n">
        <f aca="false">MIN(1000000000000,IF((INDEX(T1_Rente,5)+0.000005)&lt;Berekening!I10,(Berekening!I45-(INDEX(T1_Rente,5)+0.000005)*Berekening!I46)/(360*((INDEX(T1_Rente,5)+0.000005)-Berekening!I10)),1000000000000),IF((INDEX(T1_Rente,5)-0.005+0.000005)&gt;Berekening!I10,(Berekening!I45-(INDEX(T1_Rente,5)-0.005+0.000005)*Berekening!I46)/(360*((INDEX(T1_Rente,5)-0.005+0.000005)-Berekening!I10)),1000000000000))</f>
        <v>-0</v>
      </c>
      <c r="J31" s="29" t="n">
        <f aca="false">MIN(1000000000000,IF((INDEX(T1_Rente,5)+0.000005)&lt;Berekening!J10,(Berekening!J45-(INDEX(T1_Rente,5)+0.000005)*Berekening!J46)/(360*((INDEX(T1_Rente,5)+0.000005)-Berekening!J10)),1000000000000),IF((INDEX(T1_Rente,5)-0.005+0.000005)&gt;Berekening!J10,(Berekening!J45-(INDEX(T1_Rente,5)-0.005+0.000005)*Berekening!J46)/(360*((INDEX(T1_Rente,5)-0.005+0.000005)-Berekening!J10)),1000000000000))</f>
        <v>216025.731404512</v>
      </c>
      <c r="K31" s="29" t="n">
        <f aca="false">MIN(1000000000000,IF((INDEX(T1_Rente,5)+0.000005)&lt;Berekening!K10,(Berekening!K45-(INDEX(T1_Rente,5)+0.000005)*Berekening!K46)/(360*((INDEX(T1_Rente,5)+0.000005)-Berekening!K10)),1000000000000),IF((INDEX(T1_Rente,5)-0.005+0.000005)&gt;Berekening!K10,(Berekening!K45-(INDEX(T1_Rente,5)-0.005+0.000005)*Berekening!K46)/(360*((INDEX(T1_Rente,5)-0.005+0.000005)-Berekening!K10)),1000000000000))</f>
        <v>-598091.168091168</v>
      </c>
      <c r="L31" s="29" t="n">
        <f aca="false">MIN(1000000000000,IF((INDEX(T1_Rente,5)+0.000005)&lt;Berekening!L10,(Berekening!L45-(INDEX(T1_Rente,5)+0.000005)*Berekening!L46)/(360*((INDEX(T1_Rente,5)+0.000005)-Berekening!L10)),1000000000000),IF((INDEX(T1_Rente,5)-0.005+0.000005)&gt;Berekening!L10,(Berekening!L45-(INDEX(T1_Rente,5)-0.005+0.000005)*Berekening!L46)/(360*((INDEX(T1_Rente,5)-0.005+0.000005)-Berekening!L10)),1000000000000))</f>
        <v>216025.731404512</v>
      </c>
      <c r="M31" s="29" t="n">
        <f aca="false">MIN(1000000000000,IF((INDEX(T1_Rente,5)+0.000005)&lt;Berekening!M10,(Berekening!M45-(INDEX(T1_Rente,5)+0.000005)*Berekening!M46)/(360*((INDEX(T1_Rente,5)+0.000005)-Berekening!M10)),1000000000000),IF((INDEX(T1_Rente,5)-0.005+0.000005)&gt;Berekening!M10,(Berekening!M45-(INDEX(T1_Rente,5)-0.005+0.000005)*Berekening!M46)/(360*((INDEX(T1_Rente,5)-0.005+0.000005)-Berekening!M10)),1000000000000))</f>
        <v>216025.731404512</v>
      </c>
    </row>
    <row r="32" customFormat="false" ht="15" hidden="false" customHeight="false" outlineLevel="0" collapsed="false">
      <c r="A32" s="9" t="s">
        <v>315</v>
      </c>
      <c r="B32" s="19" t="s">
        <v>101</v>
      </c>
      <c r="C32" s="29" t="n">
        <f aca="false">IF(C30&gt;C31,-1,IF(C29&lt;C30-0.000000001,-1,IF(C29&gt;C31,MAX(C30,C31-1),C29)))</f>
        <v>216024.731404512</v>
      </c>
      <c r="D32" s="29" t="n">
        <f aca="false">IF(D30&gt;D31,-1,IF(D29&lt;D30-0.000000001,-1,IF(D29&gt;D31,MAX(D30,D31-1),D29)))</f>
        <v>151857.100424548</v>
      </c>
      <c r="E32" s="29" t="n">
        <f aca="false">IF(E30&gt;E31,-1,IF(E29&lt;E30-0.000000001,-1,IF(E29&gt;E31,MAX(E30,E31-1),E29)))</f>
        <v>-1</v>
      </c>
      <c r="F32" s="29" t="n">
        <f aca="false">IF(F30&gt;F31,-1,IF(F29&lt;F30-0.000000001,-1,IF(F29&gt;F31,MAX(F30,F31-1),F29)))</f>
        <v>171364.52684606</v>
      </c>
      <c r="G32" s="29" t="n">
        <f aca="false">IF(G30&gt;G31,-1,IF(G29&lt;G30-0.000000001,-1,IF(G29&gt;G31,MAX(G30,G31-1),G29)))</f>
        <v>-0</v>
      </c>
      <c r="H32" s="29" t="n">
        <f aca="false">IF(H30&gt;H31,-1,IF(H29&lt;H30-0.000000001,-1,IF(H29&gt;H31,MAX(H30,H31-1),H29)))</f>
        <v>-0</v>
      </c>
      <c r="I32" s="29" t="n">
        <f aca="false">IF(I30&gt;I31,-1,IF(I29&lt;I30-0.000000001,-1,IF(I29&gt;I31,MAX(I30,I31-1),I29)))</f>
        <v>-0</v>
      </c>
      <c r="J32" s="29" t="n">
        <f aca="false">IF(J30&gt;J31,-1,IF(J29&lt;J30-0.000000001,-1,IF(J29&gt;J31,MAX(J30,J31-1),J29)))</f>
        <v>216024.731404512</v>
      </c>
      <c r="K32" s="29" t="n">
        <f aca="false">IF(K30&gt;K31,-1,IF(K29&lt;K30-0.000000001,-1,IF(K29&gt;K31,MAX(K30,K31-1),K29)))</f>
        <v>-1</v>
      </c>
      <c r="L32" s="29" t="n">
        <f aca="false">IF(L30&gt;L31,-1,IF(L29&lt;L30-0.000000001,-1,IF(L29&gt;L31,MAX(L30,L31-1),L29)))</f>
        <v>0</v>
      </c>
      <c r="M32" s="29" t="n">
        <f aca="false">IF(M30&gt;M31,-1,IF(M29&lt;M30-0.000000001,-1,IF(M29&gt;M31,MAX(M30,M31-1),M29)))</f>
        <v>216024.731404512</v>
      </c>
    </row>
    <row r="33" customFormat="false" ht="15" hidden="false" customHeight="false" outlineLevel="0" collapsed="false">
      <c r="A33" s="9" t="s">
        <v>316</v>
      </c>
      <c r="B33" s="19" t="s">
        <v>157</v>
      </c>
      <c r="C33" s="38" t="n">
        <f aca="false">INDEX(T1_Tabel,Berekening!C80,6)+(Berekening!C79-INDEX(T1_Inkomen,Berekening!C80))/(INDEX(T1_Inkomen,Berekening!C80+1)-INDEX(T1_Inkomen,Berekening!C80))*(INDEX(T1_Tabel,Berekening!C80+1,6)-INDEX(T1_Tabel,Berekening!C80,6))</f>
        <v>0.274</v>
      </c>
      <c r="D33" s="38" t="n">
        <f aca="false">INDEX(T1_Tabel,Berekening!D80,6)+(Berekening!D79-INDEX(T1_Inkomen,Berekening!D80))/(INDEX(T1_Inkomen,Berekening!D80+1)-INDEX(T1_Inkomen,Berekening!D80))*(INDEX(T1_Tabel,Berekening!D80+1,6)-INDEX(T1_Tabel,Berekening!D80,6))</f>
        <v>0.274</v>
      </c>
      <c r="E33" s="38" t="n">
        <f aca="false">INDEX(T1_Tabel,Berekening!E80,6)+(Berekening!E79-INDEX(T1_Inkomen,Berekening!E80))/(INDEX(T1_Inkomen,Berekening!E80+1)-INDEX(T1_Inkomen,Berekening!E80))*(INDEX(T1_Tabel,Berekening!E80+1,6)-INDEX(T1_Tabel,Berekening!E80,6))</f>
        <v>0.274</v>
      </c>
      <c r="F33" s="38" t="n">
        <f aca="false">INDEX(T1_Tabel,Berekening!F80,6)+(Berekening!F79-INDEX(T1_Inkomen,Berekening!F80))/(INDEX(T1_Inkomen,Berekening!F80+1)-INDEX(T1_Inkomen,Berekening!F80))*(INDEX(T1_Tabel,Berekening!F80+1,6)-INDEX(T1_Tabel,Berekening!F80,6))</f>
        <v>0.274</v>
      </c>
      <c r="G33" s="38" t="n">
        <f aca="false">INDEX(T1_Tabel,Berekening!G80,6)+(Berekening!G79-INDEX(T1_Inkomen,Berekening!G80))/(INDEX(T1_Inkomen,Berekening!G80+1)-INDEX(T1_Inkomen,Berekening!G80))*(INDEX(T1_Tabel,Berekening!G80+1,6)-INDEX(T1_Tabel,Berekening!G80,6))</f>
        <v>0.226</v>
      </c>
      <c r="H33" s="38" t="n">
        <f aca="false">INDEX(T1_Tabel,Berekening!H80,6)+(Berekening!H79-INDEX(T1_Inkomen,Berekening!H80))/(INDEX(T1_Inkomen,Berekening!H80+1)-INDEX(T1_Inkomen,Berekening!H80))*(INDEX(T1_Tabel,Berekening!H80+1,6)-INDEX(T1_Tabel,Berekening!H80,6))</f>
        <v>0.274</v>
      </c>
      <c r="I33" s="38" t="n">
        <f aca="false">INDEX(T1_Tabel,Berekening!I80,6)+(Berekening!I79-INDEX(T1_Inkomen,Berekening!I80))/(INDEX(T1_Inkomen,Berekening!I80+1)-INDEX(T1_Inkomen,Berekening!I80))*(INDEX(T1_Tabel,Berekening!I80+1,6)-INDEX(T1_Tabel,Berekening!I80,6))</f>
        <v>0.274</v>
      </c>
      <c r="J33" s="38" t="n">
        <f aca="false">INDEX(T1_Tabel,Berekening!J80,6)+(Berekening!J79-INDEX(T1_Inkomen,Berekening!J80))/(INDEX(T1_Inkomen,Berekening!J80+1)-INDEX(T1_Inkomen,Berekening!J80))*(INDEX(T1_Tabel,Berekening!J80+1,6)-INDEX(T1_Tabel,Berekening!J80,6))</f>
        <v>0.274</v>
      </c>
      <c r="K33" s="38" t="n">
        <f aca="false">INDEX(T1_Tabel,Berekening!K80,6)+(Berekening!K79-INDEX(T1_Inkomen,Berekening!K80))/(INDEX(T1_Inkomen,Berekening!K80+1)-INDEX(T1_Inkomen,Berekening!K80))*(INDEX(T1_Tabel,Berekening!K80+1,6)-INDEX(T1_Tabel,Berekening!K80,6))</f>
        <v>0.274</v>
      </c>
      <c r="L33" s="38" t="n">
        <f aca="false">INDEX(T1_Tabel,Berekening!L80,6)+(Berekening!L79-INDEX(T1_Inkomen,Berekening!L80))/(INDEX(T1_Inkomen,Berekening!L80+1)-INDEX(T1_Inkomen,Berekening!L80))*(INDEX(T1_Tabel,Berekening!L80+1,6)-INDEX(T1_Tabel,Berekening!L80,6))</f>
        <v>0.274</v>
      </c>
      <c r="M33" s="38" t="n">
        <f aca="false">INDEX(T1_Tabel,Berekening!M80,6)+(Berekening!M79-INDEX(T1_Inkomen,Berekening!M80))/(INDEX(T1_Inkomen,Berekening!M80+1)-INDEX(T1_Inkomen,Berekening!M80))*(INDEX(T1_Tabel,Berekening!M80+1,6)-INDEX(T1_Tabel,Berekening!M80,6))</f>
        <v>0.274</v>
      </c>
    </row>
    <row r="34" customFormat="false" ht="15" hidden="false" customHeight="false" outlineLevel="0" collapsed="false">
      <c r="A34" s="9" t="s">
        <v>317</v>
      </c>
      <c r="B34" s="19" t="s">
        <v>101</v>
      </c>
      <c r="C34" s="29" t="n">
        <f aca="false">MAX(0,(C33*C6/12-Berekening!C18-Berekening!C44)*Berekening!C11-Berekening!C75+C7)</f>
        <v>328352.170374638</v>
      </c>
      <c r="D34" s="29" t="n">
        <f aca="false">MAX(0,(D33*D6/12-Berekening!D18-Berekening!D44)*Berekening!D11-Berekening!D75+D7)</f>
        <v>357403.722328447</v>
      </c>
      <c r="E34" s="29" t="n">
        <f aca="false">MAX(0,(E33*E6/12-Berekening!E18-Berekening!E44)*Berekening!E11-Berekening!E75+E7)</f>
        <v>205704.627036103</v>
      </c>
      <c r="F34" s="29" t="n">
        <f aca="false">MAX(0,(F33*F6/12-Berekening!F18-Berekening!F44)*Berekening!F11-Berekening!F75+F7)</f>
        <v>317212.252008869</v>
      </c>
      <c r="G34" s="29" t="n">
        <f aca="false">MAX(0,(G33*G6/12-Berekening!G18-Berekening!G44)*Berekening!G11-Berekening!G75+G7)</f>
        <v>240131.168502217</v>
      </c>
      <c r="H34" s="29" t="n">
        <f aca="false">MAX(0,(H33*H6/12-Berekening!H18-Berekening!H44)*Berekening!H11-Berekening!H75+H7)</f>
        <v>641036.097198006</v>
      </c>
      <c r="I34" s="29" t="n">
        <f aca="false">MAX(0,(I33*I6/12-Berekening!I18-Berekening!I44)*Berekening!I11-Berekening!I75+I7)</f>
        <v>881124.077148323</v>
      </c>
      <c r="J34" s="29" t="n">
        <f aca="false">MAX(0,(J33*J6/12-Berekening!J18-Berekening!J44)*Berekening!J11-Berekening!J75+J7)</f>
        <v>365638.240000281</v>
      </c>
      <c r="K34" s="29" t="n">
        <f aca="false">MAX(0,(K33*K6/12-Berekening!K18-Berekening!K44)*Berekening!K11-Berekening!K75+K7)</f>
        <v>117969.705413122</v>
      </c>
      <c r="L34" s="29" t="n">
        <f aca="false">MAX(0,(L33*L6/12-Berekening!L18-Berekening!L44)*Berekening!L11-Berekening!L75+L7)</f>
        <v>0</v>
      </c>
      <c r="M34" s="29" t="n">
        <f aca="false">MAX(0,(M33*M6/12-Berekening!M18-Berekening!M44)*Berekening!M11-Berekening!M75+M7)</f>
        <v>328352.170374638</v>
      </c>
    </row>
    <row r="35" customFormat="false" ht="15" hidden="false" customHeight="false" outlineLevel="0" collapsed="false">
      <c r="A35" s="9" t="s">
        <v>318</v>
      </c>
      <c r="B35" s="19" t="s">
        <v>101</v>
      </c>
      <c r="C35" s="29" t="n">
        <f aca="false">MAX(0,IF((INDEX(T1_Rente,6)+0.000005)&gt;Berekening!C10,(Berekening!C45-(INDEX(T1_Rente,6)+0.000005)*Berekening!C46)/(360*((INDEX(T1_Rente,6)+0.000005)-Berekening!C10)),IF((INDEX(T1_Rente,6)+0.000005)=Berekening!C10,IF(Berekening!C45-(INDEX(T1_Rente,6)+0.000005)*Berekening!C46&lt;=0,-1000000000000,1000000000000),-1000000000000)),IF((INDEX(T1_Rente,6)-0.005+0.000005)&lt;Berekening!C10,(Berekening!C45-(INDEX(T1_Rente,6)-0.005+0.000005)*Berekening!C46)/(360*((INDEX(T1_Rente,6)-0.005+0.000005)-Berekening!C10)),IF((INDEX(T1_Rente,6)-0.005+0.000005)=Berekening!C10,IF(Berekening!C45-(INDEX(T1_Rente,6)-0.005+0.000005)*Berekening!C46&gt;0,-1000000000000,1000000000000),-1000000000000)))</f>
        <v>216025.731404512</v>
      </c>
      <c r="D35" s="29" t="n">
        <f aca="false">MAX(0,IF((INDEX(T1_Rente,6)+0.000005)&gt;Berekening!D10,(Berekening!D45-(INDEX(T1_Rente,6)+0.000005)*Berekening!D46)/(360*((INDEX(T1_Rente,6)+0.000005)-Berekening!D10)),IF((INDEX(T1_Rente,6)+0.000005)=Berekening!D10,IF(Berekening!D45-(INDEX(T1_Rente,6)+0.000005)*Berekening!D46&lt;=0,-1000000000000,1000000000000),-1000000000000)),IF((INDEX(T1_Rente,6)-0.005+0.000005)&lt;Berekening!D10,(Berekening!D45-(INDEX(T1_Rente,6)-0.005+0.000005)*Berekening!D46)/(360*((INDEX(T1_Rente,6)-0.005+0.000005)-Berekening!D10)),IF((INDEX(T1_Rente,6)-0.005+0.000005)=Berekening!D10,IF(Berekening!D45-(INDEX(T1_Rente,6)-0.005+0.000005)*Berekening!D46&gt;0,-1000000000000,1000000000000),-1000000000000)))</f>
        <v>151858.100424548</v>
      </c>
      <c r="E35" s="29" t="n">
        <f aca="false">MAX(0,IF((INDEX(T1_Rente,6)+0.000005)&gt;Berekening!E10,(Berekening!E45-(INDEX(T1_Rente,6)+0.000005)*Berekening!E46)/(360*((INDEX(T1_Rente,6)+0.000005)-Berekening!E10)),IF((INDEX(T1_Rente,6)+0.000005)=Berekening!E10,IF(Berekening!E45-(INDEX(T1_Rente,6)+0.000005)*Berekening!E46&lt;=0,-1000000000000,1000000000000),-1000000000000)),IF((INDEX(T1_Rente,6)-0.005+0.000005)&lt;Berekening!E10,(Berekening!E45-(INDEX(T1_Rente,6)-0.005+0.000005)*Berekening!E46)/(360*((INDEX(T1_Rente,6)-0.005+0.000005)-Berekening!E10)),IF((INDEX(T1_Rente,6)-0.005+0.000005)=Berekening!E10,IF(Berekening!E45-(INDEX(T1_Rente,6)-0.005+0.000005)*Berekening!E46&gt;0,-1000000000000,1000000000000),-1000000000000)))</f>
        <v>0</v>
      </c>
      <c r="F35" s="29" t="n">
        <f aca="false">MAX(0,IF((INDEX(T1_Rente,6)+0.000005)&gt;Berekening!F10,(Berekening!F45-(INDEX(T1_Rente,6)+0.000005)*Berekening!F46)/(360*((INDEX(T1_Rente,6)+0.000005)-Berekening!F10)),IF((INDEX(T1_Rente,6)+0.000005)=Berekening!F10,IF(Berekening!F45-(INDEX(T1_Rente,6)+0.000005)*Berekening!F46&lt;=0,-1000000000000,1000000000000),-1000000000000)),IF((INDEX(T1_Rente,6)-0.005+0.000005)&lt;Berekening!F10,(Berekening!F45-(INDEX(T1_Rente,6)-0.005+0.000005)*Berekening!F46)/(360*((INDEX(T1_Rente,6)-0.005+0.000005)-Berekening!F10)),IF((INDEX(T1_Rente,6)-0.005+0.000005)=Berekening!F10,IF(Berekening!F45-(INDEX(T1_Rente,6)-0.005+0.000005)*Berekening!F46&gt;0,-1000000000000,1000000000000),-1000000000000)))</f>
        <v>171365.52684606</v>
      </c>
      <c r="G35" s="29" t="n">
        <f aca="false">MAX(0,IF((INDEX(T1_Rente,6)+0.000005)&gt;Berekening!G10,(Berekening!G45-(INDEX(T1_Rente,6)+0.000005)*Berekening!G46)/(360*((INDEX(T1_Rente,6)+0.000005)-Berekening!G10)),IF((INDEX(T1_Rente,6)+0.000005)=Berekening!G10,IF(Berekening!G45-(INDEX(T1_Rente,6)+0.000005)*Berekening!G46&lt;=0,-1000000000000,1000000000000),-1000000000000)),IF((INDEX(T1_Rente,6)-0.005+0.000005)&lt;Berekening!G10,(Berekening!G45-(INDEX(T1_Rente,6)-0.005+0.000005)*Berekening!G46)/(360*((INDEX(T1_Rente,6)-0.005+0.000005)-Berekening!G10)),IF((INDEX(T1_Rente,6)-0.005+0.000005)=Berekening!G10,IF(Berekening!G45-(INDEX(T1_Rente,6)-0.005+0.000005)*Berekening!G46&gt;0,-1000000000000,1000000000000),-1000000000000)))</f>
        <v>-0</v>
      </c>
      <c r="H35" s="29" t="n">
        <f aca="false">MAX(0,IF((INDEX(T1_Rente,6)+0.000005)&gt;Berekening!H10,(Berekening!H45-(INDEX(T1_Rente,6)+0.000005)*Berekening!H46)/(360*((INDEX(T1_Rente,6)+0.000005)-Berekening!H10)),IF((INDEX(T1_Rente,6)+0.000005)=Berekening!H10,IF(Berekening!H45-(INDEX(T1_Rente,6)+0.000005)*Berekening!H46&lt;=0,-1000000000000,1000000000000),-1000000000000)),IF((INDEX(T1_Rente,6)-0.005+0.000005)&lt;Berekening!H10,(Berekening!H45-(INDEX(T1_Rente,6)-0.005+0.000005)*Berekening!H46)/(360*((INDEX(T1_Rente,6)-0.005+0.000005)-Berekening!H10)),IF((INDEX(T1_Rente,6)-0.005+0.000005)=Berekening!H10,IF(Berekening!H45-(INDEX(T1_Rente,6)-0.005+0.000005)*Berekening!H46&gt;0,-1000000000000,1000000000000),-1000000000000)))</f>
        <v>-0</v>
      </c>
      <c r="I35" s="29" t="n">
        <f aca="false">MAX(0,IF((INDEX(T1_Rente,6)+0.000005)&gt;Berekening!I10,(Berekening!I45-(INDEX(T1_Rente,6)+0.000005)*Berekening!I46)/(360*((INDEX(T1_Rente,6)+0.000005)-Berekening!I10)),IF((INDEX(T1_Rente,6)+0.000005)=Berekening!I10,IF(Berekening!I45-(INDEX(T1_Rente,6)+0.000005)*Berekening!I46&lt;=0,-1000000000000,1000000000000),-1000000000000)),IF((INDEX(T1_Rente,6)-0.005+0.000005)&lt;Berekening!I10,(Berekening!I45-(INDEX(T1_Rente,6)-0.005+0.000005)*Berekening!I46)/(360*((INDEX(T1_Rente,6)-0.005+0.000005)-Berekening!I10)),IF((INDEX(T1_Rente,6)-0.005+0.000005)=Berekening!I10,IF(Berekening!I45-(INDEX(T1_Rente,6)-0.005+0.000005)*Berekening!I46&gt;0,-1000000000000,1000000000000),-1000000000000)))</f>
        <v>-0</v>
      </c>
      <c r="J35" s="29" t="n">
        <f aca="false">MAX(0,IF((INDEX(T1_Rente,6)+0.000005)&gt;Berekening!J10,(Berekening!J45-(INDEX(T1_Rente,6)+0.000005)*Berekening!J46)/(360*((INDEX(T1_Rente,6)+0.000005)-Berekening!J10)),IF((INDEX(T1_Rente,6)+0.000005)=Berekening!J10,IF(Berekening!J45-(INDEX(T1_Rente,6)+0.000005)*Berekening!J46&lt;=0,-1000000000000,1000000000000),-1000000000000)),IF((INDEX(T1_Rente,6)-0.005+0.000005)&lt;Berekening!J10,(Berekening!J45-(INDEX(T1_Rente,6)-0.005+0.000005)*Berekening!J46)/(360*((INDEX(T1_Rente,6)-0.005+0.000005)-Berekening!J10)),IF((INDEX(T1_Rente,6)-0.005+0.000005)=Berekening!J10,IF(Berekening!J45-(INDEX(T1_Rente,6)-0.005+0.000005)*Berekening!J46&gt;0,-1000000000000,1000000000000),-1000000000000)))</f>
        <v>216025.731404512</v>
      </c>
      <c r="K35" s="29" t="n">
        <f aca="false">MAX(0,IF((INDEX(T1_Rente,6)+0.000005)&gt;Berekening!K10,(Berekening!K45-(INDEX(T1_Rente,6)+0.000005)*Berekening!K46)/(360*((INDEX(T1_Rente,6)+0.000005)-Berekening!K10)),IF((INDEX(T1_Rente,6)+0.000005)=Berekening!K10,IF(Berekening!K45-(INDEX(T1_Rente,6)+0.000005)*Berekening!K46&lt;=0,-1000000000000,1000000000000),-1000000000000)),IF((INDEX(T1_Rente,6)-0.005+0.000005)&lt;Berekening!K10,(Berekening!K45-(INDEX(T1_Rente,6)-0.005+0.000005)*Berekening!K46)/(360*((INDEX(T1_Rente,6)-0.005+0.000005)-Berekening!K10)),IF((INDEX(T1_Rente,6)-0.005+0.000005)=Berekening!K10,IF(Berekening!K45-(INDEX(T1_Rente,6)-0.005+0.000005)*Berekening!K46&gt;0,-1000000000000,1000000000000),-1000000000000)))</f>
        <v>0</v>
      </c>
      <c r="L35" s="29" t="n">
        <f aca="false">MAX(0,IF((INDEX(T1_Rente,6)+0.000005)&gt;Berekening!L10,(Berekening!L45-(INDEX(T1_Rente,6)+0.000005)*Berekening!L46)/(360*((INDEX(T1_Rente,6)+0.000005)-Berekening!L10)),IF((INDEX(T1_Rente,6)+0.000005)=Berekening!L10,IF(Berekening!L45-(INDEX(T1_Rente,6)+0.000005)*Berekening!L46&lt;=0,-1000000000000,1000000000000),-1000000000000)),IF((INDEX(T1_Rente,6)-0.005+0.000005)&lt;Berekening!L10,(Berekening!L45-(INDEX(T1_Rente,6)-0.005+0.000005)*Berekening!L46)/(360*((INDEX(T1_Rente,6)-0.005+0.000005)-Berekening!L10)),IF((INDEX(T1_Rente,6)-0.005+0.000005)=Berekening!L10,IF(Berekening!L45-(INDEX(T1_Rente,6)-0.005+0.000005)*Berekening!L46&gt;0,-1000000000000,1000000000000),-1000000000000)))</f>
        <v>216025.731404512</v>
      </c>
      <c r="M35" s="29" t="n">
        <f aca="false">MAX(0,IF((INDEX(T1_Rente,6)+0.000005)&gt;Berekening!M10,(Berekening!M45-(INDEX(T1_Rente,6)+0.000005)*Berekening!M46)/(360*((INDEX(T1_Rente,6)+0.000005)-Berekening!M10)),IF((INDEX(T1_Rente,6)+0.000005)=Berekening!M10,IF(Berekening!M45-(INDEX(T1_Rente,6)+0.000005)*Berekening!M46&lt;=0,-1000000000000,1000000000000),-1000000000000)),IF((INDEX(T1_Rente,6)-0.005+0.000005)&lt;Berekening!M10,(Berekening!M45-(INDEX(T1_Rente,6)-0.005+0.000005)*Berekening!M46)/(360*((INDEX(T1_Rente,6)-0.005+0.000005)-Berekening!M10)),IF((INDEX(T1_Rente,6)-0.005+0.000005)=Berekening!M10,IF(Berekening!M45-(INDEX(T1_Rente,6)-0.005+0.000005)*Berekening!M46&gt;0,-1000000000000,1000000000000),-1000000000000)))</f>
        <v>216025.731404512</v>
      </c>
    </row>
    <row r="36" customFormat="false" ht="15" hidden="false" customHeight="false" outlineLevel="0" collapsed="false">
      <c r="A36" s="9" t="s">
        <v>319</v>
      </c>
      <c r="B36" s="19" t="s">
        <v>101</v>
      </c>
      <c r="C36" s="29" t="n">
        <f aca="false">MIN(1000000000000,IF((INDEX(T1_Rente,6)+0.000005)&lt;Berekening!C10,(Berekening!C45-(INDEX(T1_Rente,6)+0.000005)*Berekening!C46)/(360*((INDEX(T1_Rente,6)+0.000005)-Berekening!C10)),1000000000000),IF((INDEX(T1_Rente,6)-0.005+0.000005)&gt;Berekening!C10,(Berekening!C45-(INDEX(T1_Rente,6)-0.005+0.000005)*Berekening!C46)/(360*((INDEX(T1_Rente,6)-0.005+0.000005)-Berekening!C10)),1000000000000))</f>
        <v>788087.908879381</v>
      </c>
      <c r="D36" s="29" t="n">
        <f aca="false">MIN(1000000000000,IF((INDEX(T1_Rente,6)+0.000005)&lt;Berekening!D10,(Berekening!D45-(INDEX(T1_Rente,6)+0.000005)*Berekening!D46)/(360*((INDEX(T1_Rente,6)+0.000005)-Berekening!D10)),1000000000000),IF((INDEX(T1_Rente,6)-0.005+0.000005)&gt;Berekening!D10,(Berekening!D45-(INDEX(T1_Rente,6)-0.005+0.000005)*Berekening!D46)/(360*((INDEX(T1_Rente,6)-0.005+0.000005)-Berekening!D10)),1000000000000))</f>
        <v>714300.45751269</v>
      </c>
      <c r="E36" s="29" t="n">
        <f aca="false">MIN(1000000000000,IF((INDEX(T1_Rente,6)+0.000005)&lt;Berekening!E10,(Berekening!E45-(INDEX(T1_Rente,6)+0.000005)*Berekening!E46)/(360*((INDEX(T1_Rente,6)+0.000005)-Berekening!E10)),1000000000000),IF((INDEX(T1_Rente,6)-0.005+0.000005)&gt;Berekening!E10,(Berekening!E45-(INDEX(T1_Rente,6)-0.005+0.000005)*Berekening!E46)/(360*((INDEX(T1_Rente,6)-0.005+0.000005)-Berekening!E10)),1000000000000))</f>
        <v>-830401.14188204</v>
      </c>
      <c r="F36" s="29" t="n">
        <f aca="false">MIN(1000000000000,IF((INDEX(T1_Rente,6)+0.000005)&lt;Berekening!F10,(Berekening!F45-(INDEX(T1_Rente,6)+0.000005)*Berekening!F46)/(360*((INDEX(T1_Rente,6)+0.000005)-Berekening!F10)),1000000000000),IF((INDEX(T1_Rente,6)-0.005+0.000005)&gt;Berekening!F10,(Berekening!F45-(INDEX(T1_Rente,6)-0.005+0.000005)*Berekening!F46)/(360*((INDEX(T1_Rente,6)-0.005+0.000005)-Berekening!F10)),1000000000000))</f>
        <v>543658.44239353</v>
      </c>
      <c r="G36" s="29" t="n">
        <f aca="false">MIN(1000000000000,IF((INDEX(T1_Rente,6)+0.000005)&lt;Berekening!G10,(Berekening!G45-(INDEX(T1_Rente,6)+0.000005)*Berekening!G46)/(360*((INDEX(T1_Rente,6)+0.000005)-Berekening!G10)),1000000000000),IF((INDEX(T1_Rente,6)-0.005+0.000005)&gt;Berekening!G10,(Berekening!G45-(INDEX(T1_Rente,6)-0.005+0.000005)*Berekening!G46)/(360*((INDEX(T1_Rente,6)-0.005+0.000005)-Berekening!G10)),1000000000000))</f>
        <v>-0</v>
      </c>
      <c r="H36" s="29" t="n">
        <f aca="false">MIN(1000000000000,IF((INDEX(T1_Rente,6)+0.000005)&lt;Berekening!H10,(Berekening!H45-(INDEX(T1_Rente,6)+0.000005)*Berekening!H46)/(360*((INDEX(T1_Rente,6)+0.000005)-Berekening!H10)),1000000000000),IF((INDEX(T1_Rente,6)-0.005+0.000005)&gt;Berekening!H10,(Berekening!H45-(INDEX(T1_Rente,6)-0.005+0.000005)*Berekening!H46)/(360*((INDEX(T1_Rente,6)-0.005+0.000005)-Berekening!H10)),1000000000000))</f>
        <v>-0</v>
      </c>
      <c r="I36" s="29" t="n">
        <f aca="false">MIN(1000000000000,IF((INDEX(T1_Rente,6)+0.000005)&lt;Berekening!I10,(Berekening!I45-(INDEX(T1_Rente,6)+0.000005)*Berekening!I46)/(360*((INDEX(T1_Rente,6)+0.000005)-Berekening!I10)),1000000000000),IF((INDEX(T1_Rente,6)-0.005+0.000005)&gt;Berekening!I10,(Berekening!I45-(INDEX(T1_Rente,6)-0.005+0.000005)*Berekening!I46)/(360*((INDEX(T1_Rente,6)-0.005+0.000005)-Berekening!I10)),1000000000000))</f>
        <v>-0</v>
      </c>
      <c r="J36" s="29" t="n">
        <f aca="false">MIN(1000000000000,IF((INDEX(T1_Rente,6)+0.000005)&lt;Berekening!J10,(Berekening!J45-(INDEX(T1_Rente,6)+0.000005)*Berekening!J46)/(360*((INDEX(T1_Rente,6)+0.000005)-Berekening!J10)),1000000000000),IF((INDEX(T1_Rente,6)-0.005+0.000005)&gt;Berekening!J10,(Berekening!J45-(INDEX(T1_Rente,6)-0.005+0.000005)*Berekening!J46)/(360*((INDEX(T1_Rente,6)-0.005+0.000005)-Berekening!J10)),1000000000000))</f>
        <v>788087.908879381</v>
      </c>
      <c r="K36" s="29" t="n">
        <f aca="false">MIN(1000000000000,IF((INDEX(T1_Rente,6)+0.000005)&lt;Berekening!K10,(Berekening!K45-(INDEX(T1_Rente,6)+0.000005)*Berekening!K46)/(360*((INDEX(T1_Rente,6)+0.000005)-Berekening!K10)),1000000000000),IF((INDEX(T1_Rente,6)-0.005+0.000005)&gt;Berekening!K10,(Berekening!K45-(INDEX(T1_Rente,6)-0.005+0.000005)*Berekening!K46)/(360*((INDEX(T1_Rente,6)-0.005+0.000005)-Berekening!K10)),1000000000000))</f>
        <v>-687755.21714608</v>
      </c>
      <c r="L36" s="29" t="n">
        <f aca="false">MIN(1000000000000,IF((INDEX(T1_Rente,6)+0.000005)&lt;Berekening!L10,(Berekening!L45-(INDEX(T1_Rente,6)+0.000005)*Berekening!L46)/(360*((INDEX(T1_Rente,6)+0.000005)-Berekening!L10)),1000000000000),IF((INDEX(T1_Rente,6)-0.005+0.000005)&gt;Berekening!L10,(Berekening!L45-(INDEX(T1_Rente,6)-0.005+0.000005)*Berekening!L46)/(360*((INDEX(T1_Rente,6)-0.005+0.000005)-Berekening!L10)),1000000000000))</f>
        <v>788087.908879381</v>
      </c>
      <c r="M36" s="29" t="n">
        <f aca="false">MIN(1000000000000,IF((INDEX(T1_Rente,6)+0.000005)&lt;Berekening!M10,(Berekening!M45-(INDEX(T1_Rente,6)+0.000005)*Berekening!M46)/(360*((INDEX(T1_Rente,6)+0.000005)-Berekening!M10)),1000000000000),IF((INDEX(T1_Rente,6)-0.005+0.000005)&gt;Berekening!M10,(Berekening!M45-(INDEX(T1_Rente,6)-0.005+0.000005)*Berekening!M46)/(360*((INDEX(T1_Rente,6)-0.005+0.000005)-Berekening!M10)),1000000000000))</f>
        <v>788087.908879381</v>
      </c>
    </row>
    <row r="37" customFormat="false" ht="15" hidden="false" customHeight="false" outlineLevel="0" collapsed="false">
      <c r="A37" s="9" t="s">
        <v>320</v>
      </c>
      <c r="B37" s="19" t="s">
        <v>101</v>
      </c>
      <c r="C37" s="29" t="n">
        <f aca="false">IF(C35&gt;C36,-1,IF(C34&lt;C35-0.000000001,-1,IF(C34&gt;C36,MAX(C35,C36-1),C34)))</f>
        <v>328352.170374638</v>
      </c>
      <c r="D37" s="29" t="n">
        <f aca="false">IF(D35&gt;D36,-1,IF(D34&lt;D35-0.000000001,-1,IF(D34&gt;D36,MAX(D35,D36-1),D34)))</f>
        <v>357403.722328447</v>
      </c>
      <c r="E37" s="29" t="n">
        <f aca="false">IF(E35&gt;E36,-1,IF(E34&lt;E35-0.000000001,-1,IF(E34&gt;E36,MAX(E35,E36-1),E34)))</f>
        <v>-1</v>
      </c>
      <c r="F37" s="29" t="n">
        <f aca="false">IF(F35&gt;F36,-1,IF(F34&lt;F35-0.000000001,-1,IF(F34&gt;F36,MAX(F35,F36-1),F34)))</f>
        <v>317212.252008869</v>
      </c>
      <c r="G37" s="29" t="n">
        <f aca="false">IF(G35&gt;G36,-1,IF(G34&lt;G35-0.000000001,-1,IF(G34&gt;G36,MAX(G35,G36-1),G34)))</f>
        <v>-0</v>
      </c>
      <c r="H37" s="29" t="n">
        <f aca="false">IF(H35&gt;H36,-1,IF(H34&lt;H35-0.000000001,-1,IF(H34&gt;H36,MAX(H35,H36-1),H34)))</f>
        <v>-0</v>
      </c>
      <c r="I37" s="29" t="n">
        <f aca="false">IF(I35&gt;I36,-1,IF(I34&lt;I35-0.000000001,-1,IF(I34&gt;I36,MAX(I35,I36-1),I34)))</f>
        <v>-0</v>
      </c>
      <c r="J37" s="29" t="n">
        <f aca="false">IF(J35&gt;J36,-1,IF(J34&lt;J35-0.000000001,-1,IF(J34&gt;J36,MAX(J35,J36-1),J34)))</f>
        <v>365638.240000281</v>
      </c>
      <c r="K37" s="29" t="n">
        <f aca="false">IF(K35&gt;K36,-1,IF(K34&lt;K35-0.000000001,-1,IF(K34&gt;K36,MAX(K35,K36-1),K34)))</f>
        <v>-1</v>
      </c>
      <c r="L37" s="29" t="n">
        <f aca="false">IF(L35&gt;L36,-1,IF(L34&lt;L35-0.000000001,-1,IF(L34&gt;L36,MAX(L35,L36-1),L34)))</f>
        <v>-1</v>
      </c>
      <c r="M37" s="29" t="n">
        <f aca="false">IF(M35&gt;M36,-1,IF(M34&lt;M35-0.000000001,-1,IF(M34&gt;M36,MAX(M35,M36-1),M34)))</f>
        <v>328352.170374638</v>
      </c>
    </row>
    <row r="38" customFormat="false" ht="15" hidden="false" customHeight="false" outlineLevel="0" collapsed="false">
      <c r="A38" s="9" t="s">
        <v>321</v>
      </c>
      <c r="B38" s="19" t="s">
        <v>157</v>
      </c>
      <c r="C38" s="38" t="n">
        <f aca="false">INDEX(T1_Tabel,Berekening!C80,7)+(Berekening!C79-INDEX(T1_Inkomen,Berekening!C80))/(INDEX(T1_Inkomen,Berekening!C80+1)-INDEX(T1_Inkomen,Berekening!C80))*(INDEX(T1_Tabel,Berekening!C80+1,7)-INDEX(T1_Tabel,Berekening!C80,7))</f>
        <v>0.283</v>
      </c>
      <c r="D38" s="38" t="n">
        <f aca="false">INDEX(T1_Tabel,Berekening!D80,7)+(Berekening!D79-INDEX(T1_Inkomen,Berekening!D80))/(INDEX(T1_Inkomen,Berekening!D80+1)-INDEX(T1_Inkomen,Berekening!D80))*(INDEX(T1_Tabel,Berekening!D80+1,7)-INDEX(T1_Tabel,Berekening!D80,7))</f>
        <v>0.283</v>
      </c>
      <c r="E38" s="38" t="n">
        <f aca="false">INDEX(T1_Tabel,Berekening!E80,7)+(Berekening!E79-INDEX(T1_Inkomen,Berekening!E80))/(INDEX(T1_Inkomen,Berekening!E80+1)-INDEX(T1_Inkomen,Berekening!E80))*(INDEX(T1_Tabel,Berekening!E80+1,7)-INDEX(T1_Tabel,Berekening!E80,7))</f>
        <v>0.283</v>
      </c>
      <c r="F38" s="38" t="n">
        <f aca="false">INDEX(T1_Tabel,Berekening!F80,7)+(Berekening!F79-INDEX(T1_Inkomen,Berekening!F80))/(INDEX(T1_Inkomen,Berekening!F80+1)-INDEX(T1_Inkomen,Berekening!F80))*(INDEX(T1_Tabel,Berekening!F80+1,7)-INDEX(T1_Tabel,Berekening!F80,7))</f>
        <v>0.283</v>
      </c>
      <c r="G38" s="38" t="n">
        <f aca="false">INDEX(T1_Tabel,Berekening!G80,7)+(Berekening!G79-INDEX(T1_Inkomen,Berekening!G80))/(INDEX(T1_Inkomen,Berekening!G80+1)-INDEX(T1_Inkomen,Berekening!G80))*(INDEX(T1_Tabel,Berekening!G80+1,7)-INDEX(T1_Tabel,Berekening!G80,7))</f>
        <v>0.236</v>
      </c>
      <c r="H38" s="38" t="n">
        <f aca="false">INDEX(T1_Tabel,Berekening!H80,7)+(Berekening!H79-INDEX(T1_Inkomen,Berekening!H80))/(INDEX(T1_Inkomen,Berekening!H80+1)-INDEX(T1_Inkomen,Berekening!H80))*(INDEX(T1_Tabel,Berekening!H80+1,7)-INDEX(T1_Tabel,Berekening!H80,7))</f>
        <v>0.283</v>
      </c>
      <c r="I38" s="38" t="n">
        <f aca="false">INDEX(T1_Tabel,Berekening!I80,7)+(Berekening!I79-INDEX(T1_Inkomen,Berekening!I80))/(INDEX(T1_Inkomen,Berekening!I80+1)-INDEX(T1_Inkomen,Berekening!I80))*(INDEX(T1_Tabel,Berekening!I80+1,7)-INDEX(T1_Tabel,Berekening!I80,7))</f>
        <v>0.283</v>
      </c>
      <c r="J38" s="38" t="n">
        <f aca="false">INDEX(T1_Tabel,Berekening!J80,7)+(Berekening!J79-INDEX(T1_Inkomen,Berekening!J80))/(INDEX(T1_Inkomen,Berekening!J80+1)-INDEX(T1_Inkomen,Berekening!J80))*(INDEX(T1_Tabel,Berekening!J80+1,7)-INDEX(T1_Tabel,Berekening!J80,7))</f>
        <v>0.283</v>
      </c>
      <c r="K38" s="38" t="n">
        <f aca="false">INDEX(T1_Tabel,Berekening!K80,7)+(Berekening!K79-INDEX(T1_Inkomen,Berekening!K80))/(INDEX(T1_Inkomen,Berekening!K80+1)-INDEX(T1_Inkomen,Berekening!K80))*(INDEX(T1_Tabel,Berekening!K80+1,7)-INDEX(T1_Tabel,Berekening!K80,7))</f>
        <v>0.283</v>
      </c>
      <c r="L38" s="38" t="n">
        <f aca="false">INDEX(T1_Tabel,Berekening!L80,7)+(Berekening!L79-INDEX(T1_Inkomen,Berekening!L80))/(INDEX(T1_Inkomen,Berekening!L80+1)-INDEX(T1_Inkomen,Berekening!L80))*(INDEX(T1_Tabel,Berekening!L80+1,7)-INDEX(T1_Tabel,Berekening!L80,7))</f>
        <v>0.283</v>
      </c>
      <c r="M38" s="38" t="n">
        <f aca="false">INDEX(T1_Tabel,Berekening!M80,7)+(Berekening!M79-INDEX(T1_Inkomen,Berekening!M80))/(INDEX(T1_Inkomen,Berekening!M80+1)-INDEX(T1_Inkomen,Berekening!M80))*(INDEX(T1_Tabel,Berekening!M80+1,7)-INDEX(T1_Tabel,Berekening!M80,7))</f>
        <v>0.283</v>
      </c>
    </row>
    <row r="39" customFormat="false" ht="15" hidden="false" customHeight="false" outlineLevel="0" collapsed="false">
      <c r="A39" s="9" t="s">
        <v>322</v>
      </c>
      <c r="B39" s="19" t="s">
        <v>101</v>
      </c>
      <c r="C39" s="29" t="n">
        <f aca="false">MAX(0,(C38*C6/12-Berekening!C18-Berekening!C44)*Berekening!C11-Berekening!C75+C7)</f>
        <v>360927.068325743</v>
      </c>
      <c r="D39" s="29" t="n">
        <f aca="false">MAX(0,(D38*D6/12-Berekening!D18-Berekening!D44)*Berekening!D11-Berekening!D75+D7)</f>
        <v>389978.620279552</v>
      </c>
      <c r="E39" s="29" t="n">
        <f aca="false">MAX(0,(E38*E6/12-Berekening!E18-Berekening!E44)*Berekening!E11-Berekening!E75+E7)</f>
        <v>238279.524987208</v>
      </c>
      <c r="F39" s="29" t="n">
        <f aca="false">MAX(0,(F38*F6/12-Berekening!F18-Berekening!F44)*Berekening!F11-Berekening!F75+F7)</f>
        <v>348647.274885394</v>
      </c>
      <c r="G39" s="29" t="n">
        <f aca="false">MAX(0,(G38*G6/12-Berekening!G18-Berekening!G44)*Berekening!G11-Berekening!G75+G7)</f>
        <v>249782.990117359</v>
      </c>
      <c r="H39" s="29" t="n">
        <f aca="false">MAX(0,(H38*H6/12-Berekening!H18-Berekening!H44)*Berekening!H11-Berekening!H75+H7)</f>
        <v>662752.695832076</v>
      </c>
      <c r="I39" s="29" t="n">
        <f aca="false">MAX(0,(I38*I6/12-Berekening!I18-Berekening!I44)*Berekening!I11-Berekening!I75+I7)</f>
        <v>913698.975099428</v>
      </c>
      <c r="J39" s="29" t="n">
        <f aca="false">MAX(0,(J38*J6/12-Berekening!J18-Berekening!J44)*Berekening!J11-Berekening!J75+J7)</f>
        <v>398213.137951386</v>
      </c>
      <c r="K39" s="29" t="n">
        <f aca="false">MAX(0,(K38*K6/12-Berekening!K18-Berekening!K44)*Berekening!K11-Berekening!K75+K7)</f>
        <v>150544.603364227</v>
      </c>
      <c r="L39" s="29" t="n">
        <f aca="false">MAX(0,(L38*L6/12-Berekening!L18-Berekening!L44)*Berekening!L11-Berekening!L75+L7)</f>
        <v>0</v>
      </c>
      <c r="M39" s="29" t="n">
        <f aca="false">MAX(0,(M38*M6/12-Berekening!M18-Berekening!M44)*Berekening!M11-Berekening!M75+M7)</f>
        <v>360927.068325743</v>
      </c>
    </row>
    <row r="40" customFormat="false" ht="15" hidden="false" customHeight="false" outlineLevel="0" collapsed="false">
      <c r="A40" s="9" t="s">
        <v>323</v>
      </c>
      <c r="B40" s="19" t="s">
        <v>101</v>
      </c>
      <c r="C40" s="29" t="n">
        <f aca="false">MAX(0,IF((INDEX(T1_Rente,7)+0.000005)&gt;Berekening!C10,(Berekening!C45-(INDEX(T1_Rente,7)+0.000005)*Berekening!C46)/(360*((INDEX(T1_Rente,7)+0.000005)-Berekening!C10)),IF((INDEX(T1_Rente,7)+0.000005)=Berekening!C10,IF(Berekening!C45-(INDEX(T1_Rente,7)+0.000005)*Berekening!C46&lt;=0,-1000000000000,1000000000000),-1000000000000)),IF((INDEX(T1_Rente,7)-0.005+0.000005)&lt;Berekening!C10,(Berekening!C45-(INDEX(T1_Rente,7)-0.005+0.000005)*Berekening!C46)/(360*((INDEX(T1_Rente,7)-0.005+0.000005)-Berekening!C10)),IF((INDEX(T1_Rente,7)-0.005+0.000005)=Berekening!C10,IF(Berekening!C45-(INDEX(T1_Rente,7)-0.005+0.000005)*Berekening!C46&gt;0,-1000000000000,1000000000000),-1000000000000)))</f>
        <v>788087.908879381</v>
      </c>
      <c r="D40" s="29" t="n">
        <f aca="false">MAX(0,IF((INDEX(T1_Rente,7)+0.000005)&gt;Berekening!D10,(Berekening!D45-(INDEX(T1_Rente,7)+0.000005)*Berekening!D46)/(360*((INDEX(T1_Rente,7)+0.000005)-Berekening!D10)),IF((INDEX(T1_Rente,7)+0.000005)=Berekening!D10,IF(Berekening!D45-(INDEX(T1_Rente,7)+0.000005)*Berekening!D46&lt;=0,-1000000000000,1000000000000),-1000000000000)),IF((INDEX(T1_Rente,7)-0.005+0.000005)&lt;Berekening!D10,(Berekening!D45-(INDEX(T1_Rente,7)-0.005+0.000005)*Berekening!D46)/(360*((INDEX(T1_Rente,7)-0.005+0.000005)-Berekening!D10)),IF((INDEX(T1_Rente,7)-0.005+0.000005)=Berekening!D10,IF(Berekening!D45-(INDEX(T1_Rente,7)-0.005+0.000005)*Berekening!D46&gt;0,-1000000000000,1000000000000),-1000000000000)))</f>
        <v>714300.45751269</v>
      </c>
      <c r="E40" s="29" t="n">
        <f aca="false">MAX(0,IF((INDEX(T1_Rente,7)+0.000005)&gt;Berekening!E10,(Berekening!E45-(INDEX(T1_Rente,7)+0.000005)*Berekening!E46)/(360*((INDEX(T1_Rente,7)+0.000005)-Berekening!E10)),IF((INDEX(T1_Rente,7)+0.000005)=Berekening!E10,IF(Berekening!E45-(INDEX(T1_Rente,7)+0.000005)*Berekening!E46&lt;=0,-1000000000000,1000000000000),-1000000000000)),IF((INDEX(T1_Rente,7)-0.005+0.000005)&lt;Berekening!E10,(Berekening!E45-(INDEX(T1_Rente,7)-0.005+0.000005)*Berekening!E46)/(360*((INDEX(T1_Rente,7)-0.005+0.000005)-Berekening!E10)),IF((INDEX(T1_Rente,7)-0.005+0.000005)=Berekening!E10,IF(Berekening!E45-(INDEX(T1_Rente,7)-0.005+0.000005)*Berekening!E46&gt;0,-1000000000000,1000000000000),-1000000000000)))</f>
        <v>0</v>
      </c>
      <c r="F40" s="29" t="n">
        <f aca="false">MAX(0,IF((INDEX(T1_Rente,7)+0.000005)&gt;Berekening!F10,(Berekening!F45-(INDEX(T1_Rente,7)+0.000005)*Berekening!F46)/(360*((INDEX(T1_Rente,7)+0.000005)-Berekening!F10)),IF((INDEX(T1_Rente,7)+0.000005)=Berekening!F10,IF(Berekening!F45-(INDEX(T1_Rente,7)+0.000005)*Berekening!F46&lt;=0,-1000000000000,1000000000000),-1000000000000)),IF((INDEX(T1_Rente,7)-0.005+0.000005)&lt;Berekening!F10,(Berekening!F45-(INDEX(T1_Rente,7)-0.005+0.000005)*Berekening!F46)/(360*((INDEX(T1_Rente,7)-0.005+0.000005)-Berekening!F10)),IF((INDEX(T1_Rente,7)-0.005+0.000005)=Berekening!F10,IF(Berekening!F45-(INDEX(T1_Rente,7)-0.005+0.000005)*Berekening!F46&gt;0,-1000000000000,1000000000000),-1000000000000)))</f>
        <v>543658.44239353</v>
      </c>
      <c r="G40" s="29" t="n">
        <f aca="false">MAX(0,IF((INDEX(T1_Rente,7)+0.000005)&gt;Berekening!G10,(Berekening!G45-(INDEX(T1_Rente,7)+0.000005)*Berekening!G46)/(360*((INDEX(T1_Rente,7)+0.000005)-Berekening!G10)),IF((INDEX(T1_Rente,7)+0.000005)=Berekening!G10,IF(Berekening!G45-(INDEX(T1_Rente,7)+0.000005)*Berekening!G46&lt;=0,-1000000000000,1000000000000),-1000000000000)),IF((INDEX(T1_Rente,7)-0.005+0.000005)&lt;Berekening!G10,(Berekening!G45-(INDEX(T1_Rente,7)-0.005+0.000005)*Berekening!G46)/(360*((INDEX(T1_Rente,7)-0.005+0.000005)-Berekening!G10)),IF((INDEX(T1_Rente,7)-0.005+0.000005)=Berekening!G10,IF(Berekening!G45-(INDEX(T1_Rente,7)-0.005+0.000005)*Berekening!G46&gt;0,-1000000000000,1000000000000),-1000000000000)))</f>
        <v>-0</v>
      </c>
      <c r="H40" s="29" t="n">
        <f aca="false">MAX(0,IF((INDEX(T1_Rente,7)+0.000005)&gt;Berekening!H10,(Berekening!H45-(INDEX(T1_Rente,7)+0.000005)*Berekening!H46)/(360*((INDEX(T1_Rente,7)+0.000005)-Berekening!H10)),IF((INDEX(T1_Rente,7)+0.000005)=Berekening!H10,IF(Berekening!H45-(INDEX(T1_Rente,7)+0.000005)*Berekening!H46&lt;=0,-1000000000000,1000000000000),-1000000000000)),IF((INDEX(T1_Rente,7)-0.005+0.000005)&lt;Berekening!H10,(Berekening!H45-(INDEX(T1_Rente,7)-0.005+0.000005)*Berekening!H46)/(360*((INDEX(T1_Rente,7)-0.005+0.000005)-Berekening!H10)),IF((INDEX(T1_Rente,7)-0.005+0.000005)=Berekening!H10,IF(Berekening!H45-(INDEX(T1_Rente,7)-0.005+0.000005)*Berekening!H46&gt;0,-1000000000000,1000000000000),-1000000000000)))</f>
        <v>-0</v>
      </c>
      <c r="I40" s="29" t="n">
        <f aca="false">MAX(0,IF((INDEX(T1_Rente,7)+0.000005)&gt;Berekening!I10,(Berekening!I45-(INDEX(T1_Rente,7)+0.000005)*Berekening!I46)/(360*((INDEX(T1_Rente,7)+0.000005)-Berekening!I10)),IF((INDEX(T1_Rente,7)+0.000005)=Berekening!I10,IF(Berekening!I45-(INDEX(T1_Rente,7)+0.000005)*Berekening!I46&lt;=0,-1000000000000,1000000000000),-1000000000000)),IF((INDEX(T1_Rente,7)-0.005+0.000005)&lt;Berekening!I10,(Berekening!I45-(INDEX(T1_Rente,7)-0.005+0.000005)*Berekening!I46)/(360*((INDEX(T1_Rente,7)-0.005+0.000005)-Berekening!I10)),IF((INDEX(T1_Rente,7)-0.005+0.000005)=Berekening!I10,IF(Berekening!I45-(INDEX(T1_Rente,7)-0.005+0.000005)*Berekening!I46&gt;0,-1000000000000,1000000000000),-1000000000000)))</f>
        <v>-0</v>
      </c>
      <c r="J40" s="29" t="n">
        <f aca="false">MAX(0,IF((INDEX(T1_Rente,7)+0.000005)&gt;Berekening!J10,(Berekening!J45-(INDEX(T1_Rente,7)+0.000005)*Berekening!J46)/(360*((INDEX(T1_Rente,7)+0.000005)-Berekening!J10)),IF((INDEX(T1_Rente,7)+0.000005)=Berekening!J10,IF(Berekening!J45-(INDEX(T1_Rente,7)+0.000005)*Berekening!J46&lt;=0,-1000000000000,1000000000000),-1000000000000)),IF((INDEX(T1_Rente,7)-0.005+0.000005)&lt;Berekening!J10,(Berekening!J45-(INDEX(T1_Rente,7)-0.005+0.000005)*Berekening!J46)/(360*((INDEX(T1_Rente,7)-0.005+0.000005)-Berekening!J10)),IF((INDEX(T1_Rente,7)-0.005+0.000005)=Berekening!J10,IF(Berekening!J45-(INDEX(T1_Rente,7)-0.005+0.000005)*Berekening!J46&gt;0,-1000000000000,1000000000000),-1000000000000)))</f>
        <v>788087.908879381</v>
      </c>
      <c r="K40" s="29" t="n">
        <f aca="false">MAX(0,IF((INDEX(T1_Rente,7)+0.000005)&gt;Berekening!K10,(Berekening!K45-(INDEX(T1_Rente,7)+0.000005)*Berekening!K46)/(360*((INDEX(T1_Rente,7)+0.000005)-Berekening!K10)),IF((INDEX(T1_Rente,7)+0.000005)=Berekening!K10,IF(Berekening!K45-(INDEX(T1_Rente,7)+0.000005)*Berekening!K46&lt;=0,-1000000000000,1000000000000),-1000000000000)),IF((INDEX(T1_Rente,7)-0.005+0.000005)&lt;Berekening!K10,(Berekening!K45-(INDEX(T1_Rente,7)-0.005+0.000005)*Berekening!K46)/(360*((INDEX(T1_Rente,7)-0.005+0.000005)-Berekening!K10)),IF((INDEX(T1_Rente,7)-0.005+0.000005)=Berekening!K10,IF(Berekening!K45-(INDEX(T1_Rente,7)-0.005+0.000005)*Berekening!K46&gt;0,-1000000000000,1000000000000),-1000000000000)))</f>
        <v>0</v>
      </c>
      <c r="L40" s="29" t="n">
        <f aca="false">MAX(0,IF((INDEX(T1_Rente,7)+0.000005)&gt;Berekening!L10,(Berekening!L45-(INDEX(T1_Rente,7)+0.000005)*Berekening!L46)/(360*((INDEX(T1_Rente,7)+0.000005)-Berekening!L10)),IF((INDEX(T1_Rente,7)+0.000005)=Berekening!L10,IF(Berekening!L45-(INDEX(T1_Rente,7)+0.000005)*Berekening!L46&lt;=0,-1000000000000,1000000000000),-1000000000000)),IF((INDEX(T1_Rente,7)-0.005+0.000005)&lt;Berekening!L10,(Berekening!L45-(INDEX(T1_Rente,7)-0.005+0.000005)*Berekening!L46)/(360*((INDEX(T1_Rente,7)-0.005+0.000005)-Berekening!L10)),IF((INDEX(T1_Rente,7)-0.005+0.000005)=Berekening!L10,IF(Berekening!L45-(INDEX(T1_Rente,7)-0.005+0.000005)*Berekening!L46&gt;0,-1000000000000,1000000000000),-1000000000000)))</f>
        <v>788087.908879381</v>
      </c>
      <c r="M40" s="29" t="n">
        <f aca="false">MAX(0,IF((INDEX(T1_Rente,7)+0.000005)&gt;Berekening!M10,(Berekening!M45-(INDEX(T1_Rente,7)+0.000005)*Berekening!M46)/(360*((INDEX(T1_Rente,7)+0.000005)-Berekening!M10)),IF((INDEX(T1_Rente,7)+0.000005)=Berekening!M10,IF(Berekening!M45-(INDEX(T1_Rente,7)+0.000005)*Berekening!M46&lt;=0,-1000000000000,1000000000000),-1000000000000)),IF((INDEX(T1_Rente,7)-0.005+0.000005)&lt;Berekening!M10,(Berekening!M45-(INDEX(T1_Rente,7)-0.005+0.000005)*Berekening!M46)/(360*((INDEX(T1_Rente,7)-0.005+0.000005)-Berekening!M10)),IF((INDEX(T1_Rente,7)-0.005+0.000005)=Berekening!M10,IF(Berekening!M45-(INDEX(T1_Rente,7)-0.005+0.000005)*Berekening!M46&gt;0,-1000000000000,1000000000000),-1000000000000)))</f>
        <v>788087.908879381</v>
      </c>
    </row>
    <row r="41" customFormat="false" ht="15" hidden="false" customHeight="false" outlineLevel="0" collapsed="false">
      <c r="A41" s="9" t="s">
        <v>324</v>
      </c>
      <c r="B41" s="19" t="s">
        <v>101</v>
      </c>
      <c r="C41" s="29" t="n">
        <f aca="false">MIN(1000000000000,IF((INDEX(T1_Rente,7)+0.000005)&lt;Berekening!C10,(Berekening!C45-(INDEX(T1_Rente,7)+0.000005)*Berekening!C46)/(360*((INDEX(T1_Rente,7)+0.000005)-Berekening!C10)),1000000000000),IF((INDEX(T1_Rente,7)-0.005+0.000005)&gt;Berekening!C10,(Berekening!C45-(INDEX(T1_Rente,7)-0.005+0.000005)*Berekening!C46)/(360*((INDEX(T1_Rente,7)-0.005+0.000005)-Berekening!C10)),1000000000000))</f>
        <v>4378947.85667018</v>
      </c>
      <c r="D41" s="29" t="n">
        <f aca="false">MIN(1000000000000,IF((INDEX(T1_Rente,7)+0.000005)&lt;Berekening!D10,(Berekening!D45-(INDEX(T1_Rente,7)+0.000005)*Berekening!D46)/(360*((INDEX(T1_Rente,7)+0.000005)-Berekening!D10)),1000000000000),IF((INDEX(T1_Rente,7)-0.005+0.000005)&gt;Berekening!D10,(Berekening!D45-(INDEX(T1_Rente,7)-0.005+0.000005)*Berekening!D46)/(360*((INDEX(T1_Rente,7)-0.005+0.000005)-Berekening!D10)),1000000000000))</f>
        <v>4244776.3612401</v>
      </c>
      <c r="E41" s="29" t="n">
        <f aca="false">MIN(1000000000000,IF((INDEX(T1_Rente,7)+0.000005)&lt;Berekening!E10,(Berekening!E45-(INDEX(T1_Rente,7)+0.000005)*Berekening!E46)/(360*((INDEX(T1_Rente,7)+0.000005)-Berekening!E10)),1000000000000),IF((INDEX(T1_Rente,7)-0.005+0.000005)&gt;Berekening!E10,(Berekening!E45-(INDEX(T1_Rente,7)-0.005+0.000005)*Berekening!E46)/(360*((INDEX(T1_Rente,7)-0.005+0.000005)-Berekening!E10)),1000000000000))</f>
        <v>-1509960.85309235</v>
      </c>
      <c r="F41" s="29" t="n">
        <f aca="false">MIN(1000000000000,IF((INDEX(T1_Rente,7)+0.000005)&lt;Berekening!F10,(Berekening!F45-(INDEX(T1_Rente,7)+0.000005)*Berekening!F46)/(360*((INDEX(T1_Rente,7)+0.000005)-Berekening!F10)),1000000000000),IF((INDEX(T1_Rente,7)-0.005+0.000005)&gt;Berekening!F10,(Berekening!F45-(INDEX(T1_Rente,7)-0.005+0.000005)*Berekening!F46)/(360*((INDEX(T1_Rente,7)-0.005+0.000005)-Berekening!F10)),1000000000000))</f>
        <v>1661282.5201982</v>
      </c>
      <c r="G41" s="29" t="n">
        <f aca="false">MIN(1000000000000,IF((INDEX(T1_Rente,7)+0.000005)&lt;Berekening!G10,(Berekening!G45-(INDEX(T1_Rente,7)+0.000005)*Berekening!G46)/(360*((INDEX(T1_Rente,7)+0.000005)-Berekening!G10)),1000000000000),IF((INDEX(T1_Rente,7)-0.005+0.000005)&gt;Berekening!G10,(Berekening!G45-(INDEX(T1_Rente,7)-0.005+0.000005)*Berekening!G46)/(360*((INDEX(T1_Rente,7)-0.005+0.000005)-Berekening!G10)),1000000000000))</f>
        <v>-0</v>
      </c>
      <c r="H41" s="29" t="n">
        <f aca="false">MIN(1000000000000,IF((INDEX(T1_Rente,7)+0.000005)&lt;Berekening!H10,(Berekening!H45-(INDEX(T1_Rente,7)+0.000005)*Berekening!H46)/(360*((INDEX(T1_Rente,7)+0.000005)-Berekening!H10)),1000000000000),IF((INDEX(T1_Rente,7)-0.005+0.000005)&gt;Berekening!H10,(Berekening!H45-(INDEX(T1_Rente,7)-0.005+0.000005)*Berekening!H46)/(360*((INDEX(T1_Rente,7)-0.005+0.000005)-Berekening!H10)),1000000000000))</f>
        <v>-0</v>
      </c>
      <c r="I41" s="29" t="n">
        <f aca="false">MIN(1000000000000,IF((INDEX(T1_Rente,7)+0.000005)&lt;Berekening!I10,(Berekening!I45-(INDEX(T1_Rente,7)+0.000005)*Berekening!I46)/(360*((INDEX(T1_Rente,7)+0.000005)-Berekening!I10)),1000000000000),IF((INDEX(T1_Rente,7)-0.005+0.000005)&gt;Berekening!I10,(Berekening!I45-(INDEX(T1_Rente,7)-0.005+0.000005)*Berekening!I46)/(360*((INDEX(T1_Rente,7)-0.005+0.000005)-Berekening!I10)),1000000000000))</f>
        <v>-0</v>
      </c>
      <c r="J41" s="29" t="n">
        <f aca="false">MIN(1000000000000,IF((INDEX(T1_Rente,7)+0.000005)&lt;Berekening!J10,(Berekening!J45-(INDEX(T1_Rente,7)+0.000005)*Berekening!J46)/(360*((INDEX(T1_Rente,7)+0.000005)-Berekening!J10)),1000000000000),IF((INDEX(T1_Rente,7)-0.005+0.000005)&gt;Berekening!J10,(Berekening!J45-(INDEX(T1_Rente,7)-0.005+0.000005)*Berekening!J46)/(360*((INDEX(T1_Rente,7)-0.005+0.000005)-Berekening!J10)),1000000000000))</f>
        <v>4378947.85667018</v>
      </c>
      <c r="K41" s="29" t="n">
        <f aca="false">MIN(1000000000000,IF((INDEX(T1_Rente,7)+0.000005)&lt;Berekening!K10,(Berekening!K45-(INDEX(T1_Rente,7)+0.000005)*Berekening!K46)/(360*((INDEX(T1_Rente,7)+0.000005)-Berekening!K10)),1000000000000),IF((INDEX(T1_Rente,7)-0.005+0.000005)&gt;Berekening!K10,(Berekening!K45-(INDEX(T1_Rente,7)-0.005+0.000005)*Berekening!K46)/(360*((INDEX(T1_Rente,7)-0.005+0.000005)-Berekening!K10)),1000000000000))</f>
        <v>-1250580.47493404</v>
      </c>
      <c r="L41" s="29" t="n">
        <f aca="false">MIN(1000000000000,IF((INDEX(T1_Rente,7)+0.000005)&lt;Berekening!L10,(Berekening!L45-(INDEX(T1_Rente,7)+0.000005)*Berekening!L46)/(360*((INDEX(T1_Rente,7)+0.000005)-Berekening!L10)),1000000000000),IF((INDEX(T1_Rente,7)-0.005+0.000005)&gt;Berekening!L10,(Berekening!L45-(INDEX(T1_Rente,7)-0.005+0.000005)*Berekening!L46)/(360*((INDEX(T1_Rente,7)-0.005+0.000005)-Berekening!L10)),1000000000000))</f>
        <v>4378947.85667018</v>
      </c>
      <c r="M41" s="29" t="n">
        <f aca="false">MIN(1000000000000,IF((INDEX(T1_Rente,7)+0.000005)&lt;Berekening!M10,(Berekening!M45-(INDEX(T1_Rente,7)+0.000005)*Berekening!M46)/(360*((INDEX(T1_Rente,7)+0.000005)-Berekening!M10)),1000000000000),IF((INDEX(T1_Rente,7)-0.005+0.000005)&gt;Berekening!M10,(Berekening!M45-(INDEX(T1_Rente,7)-0.005+0.000005)*Berekening!M46)/(360*((INDEX(T1_Rente,7)-0.005+0.000005)-Berekening!M10)),1000000000000))</f>
        <v>4378947.85667018</v>
      </c>
    </row>
    <row r="42" customFormat="false" ht="15" hidden="false" customHeight="false" outlineLevel="0" collapsed="false">
      <c r="A42" s="9" t="s">
        <v>325</v>
      </c>
      <c r="B42" s="19" t="s">
        <v>101</v>
      </c>
      <c r="C42" s="29" t="n">
        <f aca="false">IF(C40&gt;C41,-1,IF(C39&lt;C40-0.000000001,-1,IF(C39&gt;C41,MAX(C40,C41-1),C39)))</f>
        <v>-1</v>
      </c>
      <c r="D42" s="29" t="n">
        <f aca="false">IF(D40&gt;D41,-1,IF(D39&lt;D40-0.000000001,-1,IF(D39&gt;D41,MAX(D40,D41-1),D39)))</f>
        <v>-1</v>
      </c>
      <c r="E42" s="29" t="n">
        <f aca="false">IF(E40&gt;E41,-1,IF(E39&lt;E40-0.000000001,-1,IF(E39&gt;E41,MAX(E40,E41-1),E39)))</f>
        <v>-1</v>
      </c>
      <c r="F42" s="29" t="n">
        <f aca="false">IF(F40&gt;F41,-1,IF(F39&lt;F40-0.000000001,-1,IF(F39&gt;F41,MAX(F40,F41-1),F39)))</f>
        <v>-1</v>
      </c>
      <c r="G42" s="29" t="n">
        <f aca="false">IF(G40&gt;G41,-1,IF(G39&lt;G40-0.000000001,-1,IF(G39&gt;G41,MAX(G40,G41-1),G39)))</f>
        <v>-0</v>
      </c>
      <c r="H42" s="29" t="n">
        <f aca="false">IF(H40&gt;H41,-1,IF(H39&lt;H40-0.000000001,-1,IF(H39&gt;H41,MAX(H40,H41-1),H39)))</f>
        <v>-0</v>
      </c>
      <c r="I42" s="29" t="n">
        <f aca="false">IF(I40&gt;I41,-1,IF(I39&lt;I40-0.000000001,-1,IF(I39&gt;I41,MAX(I40,I41-1),I39)))</f>
        <v>-0</v>
      </c>
      <c r="J42" s="29" t="n">
        <f aca="false">IF(J40&gt;J41,-1,IF(J39&lt;J40-0.000000001,-1,IF(J39&gt;J41,MAX(J40,J41-1),J39)))</f>
        <v>-1</v>
      </c>
      <c r="K42" s="29" t="n">
        <f aca="false">IF(K40&gt;K41,-1,IF(K39&lt;K40-0.000000001,-1,IF(K39&gt;K41,MAX(K40,K41-1),K39)))</f>
        <v>-1</v>
      </c>
      <c r="L42" s="29" t="n">
        <f aca="false">IF(L40&gt;L41,-1,IF(L39&lt;L40-0.000000001,-1,IF(L39&gt;L41,MAX(L40,L41-1),L39)))</f>
        <v>-1</v>
      </c>
      <c r="M42" s="29" t="n">
        <f aca="false">IF(M40&gt;M41,-1,IF(M39&lt;M40-0.000000001,-1,IF(M39&gt;M41,MAX(M40,M41-1),M39)))</f>
        <v>-1</v>
      </c>
    </row>
    <row r="43" customFormat="false" ht="15" hidden="false" customHeight="false" outlineLevel="0" collapsed="false">
      <c r="A43" s="9" t="s">
        <v>326</v>
      </c>
      <c r="B43" s="19" t="s">
        <v>157</v>
      </c>
      <c r="C43" s="38" t="n">
        <f aca="false">INDEX(T1_Tabel,Berekening!C80,8)+(Berekening!C79-INDEX(T1_Inkomen,Berekening!C80))/(INDEX(T1_Inkomen,Berekening!C80+1)-INDEX(T1_Inkomen,Berekening!C80))*(INDEX(T1_Tabel,Berekening!C80+1,8)-INDEX(T1_Tabel,Berekening!C80,8))</f>
        <v>0.292</v>
      </c>
      <c r="D43" s="38" t="n">
        <f aca="false">INDEX(T1_Tabel,Berekening!D80,8)+(Berekening!D79-INDEX(T1_Inkomen,Berekening!D80))/(INDEX(T1_Inkomen,Berekening!D80+1)-INDEX(T1_Inkomen,Berekening!D80))*(INDEX(T1_Tabel,Berekening!D80+1,8)-INDEX(T1_Tabel,Berekening!D80,8))</f>
        <v>0.292</v>
      </c>
      <c r="E43" s="38" t="n">
        <f aca="false">INDEX(T1_Tabel,Berekening!E80,8)+(Berekening!E79-INDEX(T1_Inkomen,Berekening!E80))/(INDEX(T1_Inkomen,Berekening!E80+1)-INDEX(T1_Inkomen,Berekening!E80))*(INDEX(T1_Tabel,Berekening!E80+1,8)-INDEX(T1_Tabel,Berekening!E80,8))</f>
        <v>0.292</v>
      </c>
      <c r="F43" s="38" t="n">
        <f aca="false">INDEX(T1_Tabel,Berekening!F80,8)+(Berekening!F79-INDEX(T1_Inkomen,Berekening!F80))/(INDEX(T1_Inkomen,Berekening!F80+1)-INDEX(T1_Inkomen,Berekening!F80))*(INDEX(T1_Tabel,Berekening!F80+1,8)-INDEX(T1_Tabel,Berekening!F80,8))</f>
        <v>0.292</v>
      </c>
      <c r="G43" s="38" t="n">
        <f aca="false">INDEX(T1_Tabel,Berekening!G80,8)+(Berekening!G79-INDEX(T1_Inkomen,Berekening!G80))/(INDEX(T1_Inkomen,Berekening!G80+1)-INDEX(T1_Inkomen,Berekening!G80))*(INDEX(T1_Tabel,Berekening!G80+1,8)-INDEX(T1_Tabel,Berekening!G80,8))</f>
        <v>0.246</v>
      </c>
      <c r="H43" s="38" t="n">
        <f aca="false">INDEX(T1_Tabel,Berekening!H80,8)+(Berekening!H79-INDEX(T1_Inkomen,Berekening!H80))/(INDEX(T1_Inkomen,Berekening!H80+1)-INDEX(T1_Inkomen,Berekening!H80))*(INDEX(T1_Tabel,Berekening!H80+1,8)-INDEX(T1_Tabel,Berekening!H80,8))</f>
        <v>0.292</v>
      </c>
      <c r="I43" s="38" t="n">
        <f aca="false">INDEX(T1_Tabel,Berekening!I80,8)+(Berekening!I79-INDEX(T1_Inkomen,Berekening!I80))/(INDEX(T1_Inkomen,Berekening!I80+1)-INDEX(T1_Inkomen,Berekening!I80))*(INDEX(T1_Tabel,Berekening!I80+1,8)-INDEX(T1_Tabel,Berekening!I80,8))</f>
        <v>0.292</v>
      </c>
      <c r="J43" s="38" t="n">
        <f aca="false">INDEX(T1_Tabel,Berekening!J80,8)+(Berekening!J79-INDEX(T1_Inkomen,Berekening!J80))/(INDEX(T1_Inkomen,Berekening!J80+1)-INDEX(T1_Inkomen,Berekening!J80))*(INDEX(T1_Tabel,Berekening!J80+1,8)-INDEX(T1_Tabel,Berekening!J80,8))</f>
        <v>0.292</v>
      </c>
      <c r="K43" s="38" t="n">
        <f aca="false">INDEX(T1_Tabel,Berekening!K80,8)+(Berekening!K79-INDEX(T1_Inkomen,Berekening!K80))/(INDEX(T1_Inkomen,Berekening!K80+1)-INDEX(T1_Inkomen,Berekening!K80))*(INDEX(T1_Tabel,Berekening!K80+1,8)-INDEX(T1_Tabel,Berekening!K80,8))</f>
        <v>0.292</v>
      </c>
      <c r="L43" s="38" t="n">
        <f aca="false">INDEX(T1_Tabel,Berekening!L80,8)+(Berekening!L79-INDEX(T1_Inkomen,Berekening!L80))/(INDEX(T1_Inkomen,Berekening!L80+1)-INDEX(T1_Inkomen,Berekening!L80))*(INDEX(T1_Tabel,Berekening!L80+1,8)-INDEX(T1_Tabel,Berekening!L80,8))</f>
        <v>0.292</v>
      </c>
      <c r="M43" s="38" t="n">
        <f aca="false">INDEX(T1_Tabel,Berekening!M80,8)+(Berekening!M79-INDEX(T1_Inkomen,Berekening!M80))/(INDEX(T1_Inkomen,Berekening!M80+1)-INDEX(T1_Inkomen,Berekening!M80))*(INDEX(T1_Tabel,Berekening!M80+1,8)-INDEX(T1_Tabel,Berekening!M80,8))</f>
        <v>0.292</v>
      </c>
    </row>
    <row r="44" customFormat="false" ht="15" hidden="false" customHeight="false" outlineLevel="0" collapsed="false">
      <c r="A44" s="9" t="s">
        <v>327</v>
      </c>
      <c r="B44" s="19" t="s">
        <v>101</v>
      </c>
      <c r="C44" s="29" t="n">
        <f aca="false">MAX(0,(C43*C6/12-Berekening!C18-Berekening!C44)*Berekening!C11-Berekening!C75+C7)</f>
        <v>393501.966276848</v>
      </c>
      <c r="D44" s="29" t="n">
        <f aca="false">MAX(0,(D43*D6/12-Berekening!D18-Berekening!D44)*Berekening!D11-Berekening!D75+D7)</f>
        <v>422553.518230657</v>
      </c>
      <c r="E44" s="29" t="n">
        <f aca="false">MAX(0,(E43*E6/12-Berekening!E18-Berekening!E44)*Berekening!E11-Berekening!E75+E7)</f>
        <v>270854.422938313</v>
      </c>
      <c r="F44" s="29" t="n">
        <f aca="false">MAX(0,(F43*F6/12-Berekening!F18-Berekening!F44)*Berekening!F11-Berekening!F75+F7)</f>
        <v>380082.297761919</v>
      </c>
      <c r="G44" s="29" t="n">
        <f aca="false">MAX(0,(G43*G6/12-Berekening!G18-Berekening!G44)*Berekening!G11-Berekening!G75+G7)</f>
        <v>259434.811732502</v>
      </c>
      <c r="H44" s="29" t="n">
        <f aca="false">MAX(0,(H43*H6/12-Berekening!H18-Berekening!H44)*Berekening!H11-Berekening!H75+H7)</f>
        <v>684469.294466147</v>
      </c>
      <c r="I44" s="29" t="n">
        <f aca="false">MAX(0,(I43*I6/12-Berekening!I18-Berekening!I44)*Berekening!I11-Berekening!I75+I7)</f>
        <v>946273.873050534</v>
      </c>
      <c r="J44" s="29" t="n">
        <f aca="false">MAX(0,(J43*J6/12-Berekening!J18-Berekening!J44)*Berekening!J11-Berekening!J75+J7)</f>
        <v>430788.035902492</v>
      </c>
      <c r="K44" s="29" t="n">
        <f aca="false">MAX(0,(K43*K6/12-Berekening!K18-Berekening!K44)*Berekening!K11-Berekening!K75+K7)</f>
        <v>183119.501315332</v>
      </c>
      <c r="L44" s="29" t="n">
        <f aca="false">MAX(0,(L43*L6/12-Berekening!L18-Berekening!L44)*Berekening!L11-Berekening!L75+L7)</f>
        <v>0</v>
      </c>
      <c r="M44" s="29" t="n">
        <f aca="false">MAX(0,(M43*M6/12-Berekening!M18-Berekening!M44)*Berekening!M11-Berekening!M75+M7)</f>
        <v>393501.966276848</v>
      </c>
    </row>
    <row r="45" customFormat="false" ht="15" hidden="false" customHeight="false" outlineLevel="0" collapsed="false">
      <c r="A45" s="9" t="s">
        <v>328</v>
      </c>
      <c r="B45" s="19" t="s">
        <v>101</v>
      </c>
      <c r="C45" s="29" t="n">
        <f aca="false">MAX(0,IF((INDEX(T1_Rente,8)+0.000005)&gt;Berekening!C10,(Berekening!C45-(INDEX(T1_Rente,8)+0.000005)*Berekening!C46)/(360*((INDEX(T1_Rente,8)+0.000005)-Berekening!C10)),IF((INDEX(T1_Rente,8)+0.000005)=Berekening!C10,IF(Berekening!C45-(INDEX(T1_Rente,8)+0.000005)*Berekening!C46&lt;=0,-1000000000000,1000000000000),-1000000000000)),IF((INDEX(T1_Rente,8)-0.005+0.000005)&lt;Berekening!C10,(Berekening!C45-(INDEX(T1_Rente,8)-0.005+0.000005)*Berekening!C46)/(360*((INDEX(T1_Rente,8)-0.005+0.000005)-Berekening!C10)),IF((INDEX(T1_Rente,8)-0.005+0.000005)=Berekening!C10,IF(Berekening!C45-(INDEX(T1_Rente,8)-0.005+0.000005)*Berekening!C46&gt;0,-1000000000000,1000000000000),-1000000000000)))</f>
        <v>4378947.8566702</v>
      </c>
      <c r="D45" s="29" t="n">
        <f aca="false">MAX(0,IF((INDEX(T1_Rente,8)+0.000005)&gt;Berekening!D10,(Berekening!D45-(INDEX(T1_Rente,8)+0.000005)*Berekening!D46)/(360*((INDEX(T1_Rente,8)+0.000005)-Berekening!D10)),IF((INDEX(T1_Rente,8)+0.000005)=Berekening!D10,IF(Berekening!D45-(INDEX(T1_Rente,8)+0.000005)*Berekening!D46&lt;=0,-1000000000000,1000000000000),-1000000000000)),IF((INDEX(T1_Rente,8)-0.005+0.000005)&lt;Berekening!D10,(Berekening!D45-(INDEX(T1_Rente,8)-0.005+0.000005)*Berekening!D46)/(360*((INDEX(T1_Rente,8)-0.005+0.000005)-Berekening!D10)),IF((INDEX(T1_Rente,8)-0.005+0.000005)=Berekening!D10,IF(Berekening!D45-(INDEX(T1_Rente,8)-0.005+0.000005)*Berekening!D46&gt;0,-1000000000000,1000000000000),-1000000000000)))</f>
        <v>4244776.36124012</v>
      </c>
      <c r="E45" s="29" t="n">
        <f aca="false">MAX(0,IF((INDEX(T1_Rente,8)+0.000005)&gt;Berekening!E10,(Berekening!E45-(INDEX(T1_Rente,8)+0.000005)*Berekening!E46)/(360*((INDEX(T1_Rente,8)+0.000005)-Berekening!E10)),IF((INDEX(T1_Rente,8)+0.000005)=Berekening!E10,IF(Berekening!E45-(INDEX(T1_Rente,8)+0.000005)*Berekening!E46&lt;=0,-1000000000000,1000000000000),-1000000000000)),IF((INDEX(T1_Rente,8)-0.005+0.000005)&lt;Berekening!E10,(Berekening!E45-(INDEX(T1_Rente,8)-0.005+0.000005)*Berekening!E46)/(360*((INDEX(T1_Rente,8)-0.005+0.000005)-Berekening!E10)),IF((INDEX(T1_Rente,8)-0.005+0.000005)=Berekening!E10,IF(Berekening!E45-(INDEX(T1_Rente,8)-0.005+0.000005)*Berekening!E46&gt;0,-1000000000000,1000000000000),-1000000000000)))</f>
        <v>0</v>
      </c>
      <c r="F45" s="29" t="n">
        <f aca="false">MAX(0,IF((INDEX(T1_Rente,8)+0.000005)&gt;Berekening!F10,(Berekening!F45-(INDEX(T1_Rente,8)+0.000005)*Berekening!F46)/(360*((INDEX(T1_Rente,8)+0.000005)-Berekening!F10)),IF((INDEX(T1_Rente,8)+0.000005)=Berekening!F10,IF(Berekening!F45-(INDEX(T1_Rente,8)+0.000005)*Berekening!F46&lt;=0,-1000000000000,1000000000000),-1000000000000)),IF((INDEX(T1_Rente,8)-0.005+0.000005)&lt;Berekening!F10,(Berekening!F45-(INDEX(T1_Rente,8)-0.005+0.000005)*Berekening!F46)/(360*((INDEX(T1_Rente,8)-0.005+0.000005)-Berekening!F10)),IF((INDEX(T1_Rente,8)-0.005+0.000005)=Berekening!F10,IF(Berekening!F45-(INDEX(T1_Rente,8)-0.005+0.000005)*Berekening!F46&gt;0,-1000000000000,1000000000000),-1000000000000)))</f>
        <v>1661282.5201982</v>
      </c>
      <c r="G45" s="29" t="n">
        <f aca="false">MAX(0,IF((INDEX(T1_Rente,8)+0.000005)&gt;Berekening!G10,(Berekening!G45-(INDEX(T1_Rente,8)+0.000005)*Berekening!G46)/(360*((INDEX(T1_Rente,8)+0.000005)-Berekening!G10)),IF((INDEX(T1_Rente,8)+0.000005)=Berekening!G10,IF(Berekening!G45-(INDEX(T1_Rente,8)+0.000005)*Berekening!G46&lt;=0,-1000000000000,1000000000000),-1000000000000)),IF((INDEX(T1_Rente,8)-0.005+0.000005)&lt;Berekening!G10,(Berekening!G45-(INDEX(T1_Rente,8)-0.005+0.000005)*Berekening!G46)/(360*((INDEX(T1_Rente,8)-0.005+0.000005)-Berekening!G10)),IF((INDEX(T1_Rente,8)-0.005+0.000005)=Berekening!G10,IF(Berekening!G45-(INDEX(T1_Rente,8)-0.005+0.000005)*Berekening!G46&gt;0,-1000000000000,1000000000000),-1000000000000)))</f>
        <v>-0</v>
      </c>
      <c r="H45" s="29" t="n">
        <f aca="false">MAX(0,IF((INDEX(T1_Rente,8)+0.000005)&gt;Berekening!H10,(Berekening!H45-(INDEX(T1_Rente,8)+0.000005)*Berekening!H46)/(360*((INDEX(T1_Rente,8)+0.000005)-Berekening!H10)),IF((INDEX(T1_Rente,8)+0.000005)=Berekening!H10,IF(Berekening!H45-(INDEX(T1_Rente,8)+0.000005)*Berekening!H46&lt;=0,-1000000000000,1000000000000),-1000000000000)),IF((INDEX(T1_Rente,8)-0.005+0.000005)&lt;Berekening!H10,(Berekening!H45-(INDEX(T1_Rente,8)-0.005+0.000005)*Berekening!H46)/(360*((INDEX(T1_Rente,8)-0.005+0.000005)-Berekening!H10)),IF((INDEX(T1_Rente,8)-0.005+0.000005)=Berekening!H10,IF(Berekening!H45-(INDEX(T1_Rente,8)-0.005+0.000005)*Berekening!H46&gt;0,-1000000000000,1000000000000),-1000000000000)))</f>
        <v>-0</v>
      </c>
      <c r="I45" s="29" t="n">
        <f aca="false">MAX(0,IF((INDEX(T1_Rente,8)+0.000005)&gt;Berekening!I10,(Berekening!I45-(INDEX(T1_Rente,8)+0.000005)*Berekening!I46)/(360*((INDEX(T1_Rente,8)+0.000005)-Berekening!I10)),IF((INDEX(T1_Rente,8)+0.000005)=Berekening!I10,IF(Berekening!I45-(INDEX(T1_Rente,8)+0.000005)*Berekening!I46&lt;=0,-1000000000000,1000000000000),-1000000000000)),IF((INDEX(T1_Rente,8)-0.005+0.000005)&lt;Berekening!I10,(Berekening!I45-(INDEX(T1_Rente,8)-0.005+0.000005)*Berekening!I46)/(360*((INDEX(T1_Rente,8)-0.005+0.000005)-Berekening!I10)),IF((INDEX(T1_Rente,8)-0.005+0.000005)=Berekening!I10,IF(Berekening!I45-(INDEX(T1_Rente,8)-0.005+0.000005)*Berekening!I46&gt;0,-1000000000000,1000000000000),-1000000000000)))</f>
        <v>-0</v>
      </c>
      <c r="J45" s="29" t="n">
        <f aca="false">MAX(0,IF((INDEX(T1_Rente,8)+0.000005)&gt;Berekening!J10,(Berekening!J45-(INDEX(T1_Rente,8)+0.000005)*Berekening!J46)/(360*((INDEX(T1_Rente,8)+0.000005)-Berekening!J10)),IF((INDEX(T1_Rente,8)+0.000005)=Berekening!J10,IF(Berekening!J45-(INDEX(T1_Rente,8)+0.000005)*Berekening!J46&lt;=0,-1000000000000,1000000000000),-1000000000000)),IF((INDEX(T1_Rente,8)-0.005+0.000005)&lt;Berekening!J10,(Berekening!J45-(INDEX(T1_Rente,8)-0.005+0.000005)*Berekening!J46)/(360*((INDEX(T1_Rente,8)-0.005+0.000005)-Berekening!J10)),IF((INDEX(T1_Rente,8)-0.005+0.000005)=Berekening!J10,IF(Berekening!J45-(INDEX(T1_Rente,8)-0.005+0.000005)*Berekening!J46&gt;0,-1000000000000,1000000000000),-1000000000000)))</f>
        <v>4378947.8566702</v>
      </c>
      <c r="K45" s="29" t="n">
        <f aca="false">MAX(0,IF((INDEX(T1_Rente,8)+0.000005)&gt;Berekening!K10,(Berekening!K45-(INDEX(T1_Rente,8)+0.000005)*Berekening!K46)/(360*((INDEX(T1_Rente,8)+0.000005)-Berekening!K10)),IF((INDEX(T1_Rente,8)+0.000005)=Berekening!K10,IF(Berekening!K45-(INDEX(T1_Rente,8)+0.000005)*Berekening!K46&lt;=0,-1000000000000,1000000000000),-1000000000000)),IF((INDEX(T1_Rente,8)-0.005+0.000005)&lt;Berekening!K10,(Berekening!K45-(INDEX(T1_Rente,8)-0.005+0.000005)*Berekening!K46)/(360*((INDEX(T1_Rente,8)-0.005+0.000005)-Berekening!K10)),IF((INDEX(T1_Rente,8)-0.005+0.000005)=Berekening!K10,IF(Berekening!K45-(INDEX(T1_Rente,8)-0.005+0.000005)*Berekening!K46&gt;0,-1000000000000,1000000000000),-1000000000000)))</f>
        <v>0</v>
      </c>
      <c r="L45" s="29" t="n">
        <f aca="false">MAX(0,IF((INDEX(T1_Rente,8)+0.000005)&gt;Berekening!L10,(Berekening!L45-(INDEX(T1_Rente,8)+0.000005)*Berekening!L46)/(360*((INDEX(T1_Rente,8)+0.000005)-Berekening!L10)),IF((INDEX(T1_Rente,8)+0.000005)=Berekening!L10,IF(Berekening!L45-(INDEX(T1_Rente,8)+0.000005)*Berekening!L46&lt;=0,-1000000000000,1000000000000),-1000000000000)),IF((INDEX(T1_Rente,8)-0.005+0.000005)&lt;Berekening!L10,(Berekening!L45-(INDEX(T1_Rente,8)-0.005+0.000005)*Berekening!L46)/(360*((INDEX(T1_Rente,8)-0.005+0.000005)-Berekening!L10)),IF((INDEX(T1_Rente,8)-0.005+0.000005)=Berekening!L10,IF(Berekening!L45-(INDEX(T1_Rente,8)-0.005+0.000005)*Berekening!L46&gt;0,-1000000000000,1000000000000),-1000000000000)))</f>
        <v>4378947.8566702</v>
      </c>
      <c r="M45" s="29" t="n">
        <f aca="false">MAX(0,IF((INDEX(T1_Rente,8)+0.000005)&gt;Berekening!M10,(Berekening!M45-(INDEX(T1_Rente,8)+0.000005)*Berekening!M46)/(360*((INDEX(T1_Rente,8)+0.000005)-Berekening!M10)),IF((INDEX(T1_Rente,8)+0.000005)=Berekening!M10,IF(Berekening!M45-(INDEX(T1_Rente,8)+0.000005)*Berekening!M46&lt;=0,-1000000000000,1000000000000),-1000000000000)),IF((INDEX(T1_Rente,8)-0.005+0.000005)&lt;Berekening!M10,(Berekening!M45-(INDEX(T1_Rente,8)-0.005+0.000005)*Berekening!M46)/(360*((INDEX(T1_Rente,8)-0.005+0.000005)-Berekening!M10)),IF((INDEX(T1_Rente,8)-0.005+0.000005)=Berekening!M10,IF(Berekening!M45-(INDEX(T1_Rente,8)-0.005+0.000005)*Berekening!M46&gt;0,-1000000000000,1000000000000),-1000000000000)))</f>
        <v>4378947.8566702</v>
      </c>
    </row>
    <row r="46" customFormat="false" ht="15" hidden="false" customHeight="false" outlineLevel="0" collapsed="false">
      <c r="A46" s="9" t="s">
        <v>329</v>
      </c>
      <c r="B46" s="19" t="s">
        <v>101</v>
      </c>
      <c r="C46" s="29" t="n">
        <f aca="false">MIN(1000000000000,IF((INDEX(T1_Rente,8)+0.000005)&lt;Berekening!C10,(Berekening!C45-(INDEX(T1_Rente,8)+0.000005)*Berekening!C46)/(360*((INDEX(T1_Rente,8)+0.000005)-Berekening!C10)),1000000000000),IF((INDEX(T1_Rente,8)-0.005+0.000005)&gt;Berekening!C10,(Berekening!C45-(INDEX(T1_Rente,8)-0.005+0.000005)*Berekening!C46)/(360*((INDEX(T1_Rente,8)-0.005+0.000005)-Berekening!C10)),1000000000000))</f>
        <v>1000000000000</v>
      </c>
      <c r="D46" s="29" t="n">
        <f aca="false">MIN(1000000000000,IF((INDEX(T1_Rente,8)+0.000005)&lt;Berekening!D10,(Berekening!D45-(INDEX(T1_Rente,8)+0.000005)*Berekening!D46)/(360*((INDEX(T1_Rente,8)+0.000005)-Berekening!D10)),1000000000000),IF((INDEX(T1_Rente,8)-0.005+0.000005)&gt;Berekening!D10,(Berekening!D45-(INDEX(T1_Rente,8)-0.005+0.000005)*Berekening!D46)/(360*((INDEX(T1_Rente,8)-0.005+0.000005)-Berekening!D10)),1000000000000))</f>
        <v>1000000000000</v>
      </c>
      <c r="E46" s="29" t="n">
        <f aca="false">MIN(1000000000000,IF((INDEX(T1_Rente,8)+0.000005)&lt;Berekening!E10,(Berekening!E45-(INDEX(T1_Rente,8)+0.000005)*Berekening!E46)/(360*((INDEX(T1_Rente,8)+0.000005)-Berekening!E10)),1000000000000),IF((INDEX(T1_Rente,8)-0.005+0.000005)&gt;Berekening!E10,(Berekening!E45-(INDEX(T1_Rente,8)-0.005+0.000005)*Berekening!E46)/(360*((INDEX(T1_Rente,8)-0.005+0.000005)-Berekening!E10)),1000000000000))</f>
        <v>1000000000000</v>
      </c>
      <c r="F46" s="29" t="n">
        <f aca="false">MIN(1000000000000,IF((INDEX(T1_Rente,8)+0.000005)&lt;Berekening!F10,(Berekening!F45-(INDEX(T1_Rente,8)+0.000005)*Berekening!F46)/(360*((INDEX(T1_Rente,8)+0.000005)-Berekening!F10)),1000000000000),IF((INDEX(T1_Rente,8)-0.005+0.000005)&gt;Berekening!F10,(Berekening!F45-(INDEX(T1_Rente,8)-0.005+0.000005)*Berekening!F46)/(360*((INDEX(T1_Rente,8)-0.005+0.000005)-Berekening!F10)),1000000000000))</f>
        <v>1000000000000</v>
      </c>
      <c r="G46" s="29" t="n">
        <f aca="false">MIN(1000000000000,IF((INDEX(T1_Rente,8)+0.000005)&lt;Berekening!G10,(Berekening!G45-(INDEX(T1_Rente,8)+0.000005)*Berekening!G46)/(360*((INDEX(T1_Rente,8)+0.000005)-Berekening!G10)),1000000000000),IF((INDEX(T1_Rente,8)-0.005+0.000005)&gt;Berekening!G10,(Berekening!G45-(INDEX(T1_Rente,8)-0.005+0.000005)*Berekening!G46)/(360*((INDEX(T1_Rente,8)-0.005+0.000005)-Berekening!G10)),1000000000000))</f>
        <v>1000000000000</v>
      </c>
      <c r="H46" s="29" t="n">
        <f aca="false">MIN(1000000000000,IF((INDEX(T1_Rente,8)+0.000005)&lt;Berekening!H10,(Berekening!H45-(INDEX(T1_Rente,8)+0.000005)*Berekening!H46)/(360*((INDEX(T1_Rente,8)+0.000005)-Berekening!H10)),1000000000000),IF((INDEX(T1_Rente,8)-0.005+0.000005)&gt;Berekening!H10,(Berekening!H45-(INDEX(T1_Rente,8)-0.005+0.000005)*Berekening!H46)/(360*((INDEX(T1_Rente,8)-0.005+0.000005)-Berekening!H10)),1000000000000))</f>
        <v>1000000000000</v>
      </c>
      <c r="I46" s="29" t="n">
        <f aca="false">MIN(1000000000000,IF((INDEX(T1_Rente,8)+0.000005)&lt;Berekening!I10,(Berekening!I45-(INDEX(T1_Rente,8)+0.000005)*Berekening!I46)/(360*((INDEX(T1_Rente,8)+0.000005)-Berekening!I10)),1000000000000),IF((INDEX(T1_Rente,8)-0.005+0.000005)&gt;Berekening!I10,(Berekening!I45-(INDEX(T1_Rente,8)-0.005+0.000005)*Berekening!I46)/(360*((INDEX(T1_Rente,8)-0.005+0.000005)-Berekening!I10)),1000000000000))</f>
        <v>1000000000000</v>
      </c>
      <c r="J46" s="29" t="n">
        <f aca="false">MIN(1000000000000,IF((INDEX(T1_Rente,8)+0.000005)&lt;Berekening!J10,(Berekening!J45-(INDEX(T1_Rente,8)+0.000005)*Berekening!J46)/(360*((INDEX(T1_Rente,8)+0.000005)-Berekening!J10)),1000000000000),IF((INDEX(T1_Rente,8)-0.005+0.000005)&gt;Berekening!J10,(Berekening!J45-(INDEX(T1_Rente,8)-0.005+0.000005)*Berekening!J46)/(360*((INDEX(T1_Rente,8)-0.005+0.000005)-Berekening!J10)),1000000000000))</f>
        <v>1000000000000</v>
      </c>
      <c r="K46" s="29" t="n">
        <f aca="false">MIN(1000000000000,IF((INDEX(T1_Rente,8)+0.000005)&lt;Berekening!K10,(Berekening!K45-(INDEX(T1_Rente,8)+0.000005)*Berekening!K46)/(360*((INDEX(T1_Rente,8)+0.000005)-Berekening!K10)),1000000000000),IF((INDEX(T1_Rente,8)-0.005+0.000005)&gt;Berekening!K10,(Berekening!K45-(INDEX(T1_Rente,8)-0.005+0.000005)*Berekening!K46)/(360*((INDEX(T1_Rente,8)-0.005+0.000005)-Berekening!K10)),1000000000000))</f>
        <v>1000000000000</v>
      </c>
      <c r="L46" s="29" t="n">
        <f aca="false">MIN(1000000000000,IF((INDEX(T1_Rente,8)+0.000005)&lt;Berekening!L10,(Berekening!L45-(INDEX(T1_Rente,8)+0.000005)*Berekening!L46)/(360*((INDEX(T1_Rente,8)+0.000005)-Berekening!L10)),1000000000000),IF((INDEX(T1_Rente,8)-0.005+0.000005)&gt;Berekening!L10,(Berekening!L45-(INDEX(T1_Rente,8)-0.005+0.000005)*Berekening!L46)/(360*((INDEX(T1_Rente,8)-0.005+0.000005)-Berekening!L10)),1000000000000))</f>
        <v>1000000000000</v>
      </c>
      <c r="M46" s="29" t="n">
        <f aca="false">MIN(1000000000000,IF((INDEX(T1_Rente,8)+0.000005)&lt;Berekening!M10,(Berekening!M45-(INDEX(T1_Rente,8)+0.000005)*Berekening!M46)/(360*((INDEX(T1_Rente,8)+0.000005)-Berekening!M10)),1000000000000),IF((INDEX(T1_Rente,8)-0.005+0.000005)&gt;Berekening!M10,(Berekening!M45-(INDEX(T1_Rente,8)-0.005+0.000005)*Berekening!M46)/(360*((INDEX(T1_Rente,8)-0.005+0.000005)-Berekening!M10)),1000000000000))</f>
        <v>1000000000000</v>
      </c>
    </row>
    <row r="47" customFormat="false" ht="15" hidden="false" customHeight="false" outlineLevel="0" collapsed="false">
      <c r="A47" s="9" t="s">
        <v>330</v>
      </c>
      <c r="B47" s="19" t="s">
        <v>101</v>
      </c>
      <c r="C47" s="29" t="n">
        <f aca="false">IF(C45&gt;C46,-1,IF(C44&lt;C45-0.000000001,-1,IF(C44&gt;C46,MAX(C45,C46-1),C44)))</f>
        <v>-1</v>
      </c>
      <c r="D47" s="29" t="n">
        <f aca="false">IF(D45&gt;D46,-1,IF(D44&lt;D45-0.000000001,-1,IF(D44&gt;D46,MAX(D45,D46-1),D44)))</f>
        <v>-1</v>
      </c>
      <c r="E47" s="29" t="n">
        <f aca="false">IF(E45&gt;E46,-1,IF(E44&lt;E45-0.000000001,-1,IF(E44&gt;E46,MAX(E45,E46-1),E44)))</f>
        <v>270854.422938313</v>
      </c>
      <c r="F47" s="29" t="n">
        <f aca="false">IF(F45&gt;F46,-1,IF(F44&lt;F45-0.000000001,-1,IF(F44&gt;F46,MAX(F45,F46-1),F44)))</f>
        <v>-1</v>
      </c>
      <c r="G47" s="29" t="n">
        <f aca="false">IF(G45&gt;G46,-1,IF(G44&lt;G45-0.000000001,-1,IF(G44&gt;G46,MAX(G45,G46-1),G44)))</f>
        <v>259434.811732502</v>
      </c>
      <c r="H47" s="29" t="n">
        <f aca="false">IF(H45&gt;H46,-1,IF(H44&lt;H45-0.000000001,-1,IF(H44&gt;H46,MAX(H45,H46-1),H44)))</f>
        <v>684469.294466147</v>
      </c>
      <c r="I47" s="29" t="n">
        <f aca="false">IF(I45&gt;I46,-1,IF(I44&lt;I45-0.000000001,-1,IF(I44&gt;I46,MAX(I45,I46-1),I44)))</f>
        <v>946273.873050534</v>
      </c>
      <c r="J47" s="29" t="n">
        <f aca="false">IF(J45&gt;J46,-1,IF(J44&lt;J45-0.000000001,-1,IF(J44&gt;J46,MAX(J45,J46-1),J44)))</f>
        <v>-1</v>
      </c>
      <c r="K47" s="29" t="n">
        <f aca="false">IF(K45&gt;K46,-1,IF(K44&lt;K45-0.000000001,-1,IF(K44&gt;K46,MAX(K45,K46-1),K44)))</f>
        <v>183119.501315332</v>
      </c>
      <c r="L47" s="29" t="n">
        <f aca="false">IF(L45&gt;L46,-1,IF(L44&lt;L45-0.000000001,-1,IF(L44&gt;L46,MAX(L45,L46-1),L44)))</f>
        <v>-1</v>
      </c>
      <c r="M47" s="29" t="n">
        <f aca="false">IF(M45&gt;M46,-1,IF(M44&lt;M45-0.000000001,-1,IF(M44&gt;M46,MAX(M45,M46-1),M44)))</f>
        <v>-1</v>
      </c>
    </row>
    <row r="48" customFormat="false" ht="15" hidden="false" customHeight="false" outlineLevel="0" collapsed="false">
      <c r="A48" s="9" t="s">
        <v>331</v>
      </c>
      <c r="B48" s="19" t="s">
        <v>157</v>
      </c>
      <c r="C48" s="38" t="n">
        <f aca="false">INDEX(T1_Tabel,Berekening!C80,9)+(Berekening!C79-INDEX(T1_Inkomen,Berekening!C80))/(INDEX(T1_Inkomen,Berekening!C80+1)-INDEX(T1_Inkomen,Berekening!C80))*(INDEX(T1_Tabel,Berekening!C80+1,9)-INDEX(T1_Tabel,Berekening!C80,9))</f>
        <v>0.3</v>
      </c>
      <c r="D48" s="38" t="n">
        <f aca="false">INDEX(T1_Tabel,Berekening!D80,9)+(Berekening!D79-INDEX(T1_Inkomen,Berekening!D80))/(INDEX(T1_Inkomen,Berekening!D80+1)-INDEX(T1_Inkomen,Berekening!D80))*(INDEX(T1_Tabel,Berekening!D80+1,9)-INDEX(T1_Tabel,Berekening!D80,9))</f>
        <v>0.3</v>
      </c>
      <c r="E48" s="38" t="n">
        <f aca="false">INDEX(T1_Tabel,Berekening!E80,9)+(Berekening!E79-INDEX(T1_Inkomen,Berekening!E80))/(INDEX(T1_Inkomen,Berekening!E80+1)-INDEX(T1_Inkomen,Berekening!E80))*(INDEX(T1_Tabel,Berekening!E80+1,9)-INDEX(T1_Tabel,Berekening!E80,9))</f>
        <v>0.3</v>
      </c>
      <c r="F48" s="38" t="n">
        <f aca="false">INDEX(T1_Tabel,Berekening!F80,9)+(Berekening!F79-INDEX(T1_Inkomen,Berekening!F80))/(INDEX(T1_Inkomen,Berekening!F80+1)-INDEX(T1_Inkomen,Berekening!F80))*(INDEX(T1_Tabel,Berekening!F80+1,9)-INDEX(T1_Tabel,Berekening!F80,9))</f>
        <v>0.3</v>
      </c>
      <c r="G48" s="38" t="n">
        <f aca="false">INDEX(T1_Tabel,Berekening!G80,9)+(Berekening!G79-INDEX(T1_Inkomen,Berekening!G80))/(INDEX(T1_Inkomen,Berekening!G80+1)-INDEX(T1_Inkomen,Berekening!G80))*(INDEX(T1_Tabel,Berekening!G80+1,9)-INDEX(T1_Tabel,Berekening!G80,9))</f>
        <v>0.255</v>
      </c>
      <c r="H48" s="38" t="n">
        <f aca="false">INDEX(T1_Tabel,Berekening!H80,9)+(Berekening!H79-INDEX(T1_Inkomen,Berekening!H80))/(INDEX(T1_Inkomen,Berekening!H80+1)-INDEX(T1_Inkomen,Berekening!H80))*(INDEX(T1_Tabel,Berekening!H80+1,9)-INDEX(T1_Tabel,Berekening!H80,9))</f>
        <v>0.3</v>
      </c>
      <c r="I48" s="38" t="n">
        <f aca="false">INDEX(T1_Tabel,Berekening!I80,9)+(Berekening!I79-INDEX(T1_Inkomen,Berekening!I80))/(INDEX(T1_Inkomen,Berekening!I80+1)-INDEX(T1_Inkomen,Berekening!I80))*(INDEX(T1_Tabel,Berekening!I80+1,9)-INDEX(T1_Tabel,Berekening!I80,9))</f>
        <v>0.3</v>
      </c>
      <c r="J48" s="38" t="n">
        <f aca="false">INDEX(T1_Tabel,Berekening!J80,9)+(Berekening!J79-INDEX(T1_Inkomen,Berekening!J80))/(INDEX(T1_Inkomen,Berekening!J80+1)-INDEX(T1_Inkomen,Berekening!J80))*(INDEX(T1_Tabel,Berekening!J80+1,9)-INDEX(T1_Tabel,Berekening!J80,9))</f>
        <v>0.3</v>
      </c>
      <c r="K48" s="38" t="n">
        <f aca="false">INDEX(T1_Tabel,Berekening!K80,9)+(Berekening!K79-INDEX(T1_Inkomen,Berekening!K80))/(INDEX(T1_Inkomen,Berekening!K80+1)-INDEX(T1_Inkomen,Berekening!K80))*(INDEX(T1_Tabel,Berekening!K80+1,9)-INDEX(T1_Tabel,Berekening!K80,9))</f>
        <v>0.3</v>
      </c>
      <c r="L48" s="38" t="n">
        <f aca="false">INDEX(T1_Tabel,Berekening!L80,9)+(Berekening!L79-INDEX(T1_Inkomen,Berekening!L80))/(INDEX(T1_Inkomen,Berekening!L80+1)-INDEX(T1_Inkomen,Berekening!L80))*(INDEX(T1_Tabel,Berekening!L80+1,9)-INDEX(T1_Tabel,Berekening!L80,9))</f>
        <v>0.3</v>
      </c>
      <c r="M48" s="38" t="n">
        <f aca="false">INDEX(T1_Tabel,Berekening!M80,9)+(Berekening!M79-INDEX(T1_Inkomen,Berekening!M80))/(INDEX(T1_Inkomen,Berekening!M80+1)-INDEX(T1_Inkomen,Berekening!M80))*(INDEX(T1_Tabel,Berekening!M80+1,9)-INDEX(T1_Tabel,Berekening!M80,9))</f>
        <v>0.3</v>
      </c>
    </row>
    <row r="49" customFormat="false" ht="15" hidden="false" customHeight="false" outlineLevel="0" collapsed="false">
      <c r="A49" s="9" t="s">
        <v>332</v>
      </c>
      <c r="B49" s="19" t="s">
        <v>101</v>
      </c>
      <c r="C49" s="29" t="n">
        <f aca="false">MAX(0,(C48*C6/12-Berekening!C18-Berekening!C44)*Berekening!C11-Berekening!C75+C7)</f>
        <v>422457.431122275</v>
      </c>
      <c r="D49" s="29" t="n">
        <f aca="false">MAX(0,(D48*D6/12-Berekening!D18-Berekening!D44)*Berekening!D11-Berekening!D75+D7)</f>
        <v>451508.983076084</v>
      </c>
      <c r="E49" s="29" t="n">
        <f aca="false">MAX(0,(E48*E6/12-Berekening!E18-Berekening!E44)*Berekening!E11-Berekening!E75+E7)</f>
        <v>299809.88778374</v>
      </c>
      <c r="F49" s="29" t="n">
        <f aca="false">MAX(0,(F48*F6/12-Berekening!F18-Berekening!F44)*Berekening!F11-Berekening!F75+F7)</f>
        <v>408024.540318831</v>
      </c>
      <c r="G49" s="29" t="n">
        <f aca="false">MAX(0,(G48*G6/12-Berekening!G18-Berekening!G44)*Berekening!G11-Berekening!G75+G7)</f>
        <v>268121.45118613</v>
      </c>
      <c r="H49" s="29" t="n">
        <f aca="false">MAX(0,(H48*H6/12-Berekening!H18-Berekening!H44)*Berekening!H11-Berekening!H75+H7)</f>
        <v>703772.937696431</v>
      </c>
      <c r="I49" s="29" t="n">
        <f aca="false">MAX(0,(I48*I6/12-Berekening!I18-Berekening!I44)*Berekening!I11-Berekening!I75+I7)</f>
        <v>975229.337895961</v>
      </c>
      <c r="J49" s="29" t="n">
        <f aca="false">MAX(0,(J48*J6/12-Berekening!J18-Berekening!J44)*Berekening!J11-Berekening!J75+J7)</f>
        <v>459743.500747919</v>
      </c>
      <c r="K49" s="29" t="n">
        <f aca="false">MAX(0,(K48*K6/12-Berekening!K18-Berekening!K44)*Berekening!K11-Berekening!K75+K7)</f>
        <v>212074.966160759</v>
      </c>
      <c r="L49" s="29" t="n">
        <f aca="false">MAX(0,(L48*L6/12-Berekening!L18-Berekening!L44)*Berekening!L11-Berekening!L75+L7)</f>
        <v>0</v>
      </c>
      <c r="M49" s="29" t="n">
        <f aca="false">MAX(0,(M48*M6/12-Berekening!M18-Berekening!M44)*Berekening!M11-Berekening!M75+M7)</f>
        <v>422457.431122275</v>
      </c>
    </row>
    <row r="50" customFormat="false" ht="15" hidden="false" customHeight="false" outlineLevel="0" collapsed="false">
      <c r="A50" s="9" t="s">
        <v>333</v>
      </c>
      <c r="B50" s="19" t="s">
        <v>101</v>
      </c>
      <c r="C50" s="29" t="n">
        <f aca="false">MAX(0,IF((INDEX(T1_Rente,9)+0.000005)&gt;Berekening!C10,(Berekening!C45-(INDEX(T1_Rente,9)+0.000005)*Berekening!C46)/(360*((INDEX(T1_Rente,9)+0.000005)-Berekening!C10)),IF((INDEX(T1_Rente,9)+0.000005)=Berekening!C10,IF(Berekening!C45-(INDEX(T1_Rente,9)+0.000005)*Berekening!C46&lt;=0,-1000000000000,1000000000000),-1000000000000)),IF((INDEX(T1_Rente,9)-0.005+0.000005)&lt;Berekening!C10,(Berekening!C45-(INDEX(T1_Rente,9)-0.005+0.000005)*Berekening!C46)/(360*((INDEX(T1_Rente,9)-0.005+0.000005)-Berekening!C10)),IF((INDEX(T1_Rente,9)-0.005+0.000005)=Berekening!C10,IF(Berekening!C45-(INDEX(T1_Rente,9)-0.005+0.000005)*Berekening!C46&gt;0,-1000000000000,1000000000000),-1000000000000)))</f>
        <v>0</v>
      </c>
      <c r="D50" s="29" t="n">
        <f aca="false">MAX(0,IF((INDEX(T1_Rente,9)+0.000005)&gt;Berekening!D10,(Berekening!D45-(INDEX(T1_Rente,9)+0.000005)*Berekening!D46)/(360*((INDEX(T1_Rente,9)+0.000005)-Berekening!D10)),IF((INDEX(T1_Rente,9)+0.000005)=Berekening!D10,IF(Berekening!D45-(INDEX(T1_Rente,9)+0.000005)*Berekening!D46&lt;=0,-1000000000000,1000000000000),-1000000000000)),IF((INDEX(T1_Rente,9)-0.005+0.000005)&lt;Berekening!D10,(Berekening!D45-(INDEX(T1_Rente,9)-0.005+0.000005)*Berekening!D46)/(360*((INDEX(T1_Rente,9)-0.005+0.000005)-Berekening!D10)),IF((INDEX(T1_Rente,9)-0.005+0.000005)=Berekening!D10,IF(Berekening!D45-(INDEX(T1_Rente,9)-0.005+0.000005)*Berekening!D46&gt;0,-1000000000000,1000000000000),-1000000000000)))</f>
        <v>0</v>
      </c>
      <c r="E50" s="29" t="n">
        <f aca="false">MAX(0,IF((INDEX(T1_Rente,9)+0.000005)&gt;Berekening!E10,(Berekening!E45-(INDEX(T1_Rente,9)+0.000005)*Berekening!E46)/(360*((INDEX(T1_Rente,9)+0.000005)-Berekening!E10)),IF((INDEX(T1_Rente,9)+0.000005)=Berekening!E10,IF(Berekening!E45-(INDEX(T1_Rente,9)+0.000005)*Berekening!E46&lt;=0,-1000000000000,1000000000000),-1000000000000)),IF((INDEX(T1_Rente,9)-0.005+0.000005)&lt;Berekening!E10,(Berekening!E45-(INDEX(T1_Rente,9)-0.005+0.000005)*Berekening!E46)/(360*((INDEX(T1_Rente,9)-0.005+0.000005)-Berekening!E10)),IF((INDEX(T1_Rente,9)-0.005+0.000005)=Berekening!E10,IF(Berekening!E45-(INDEX(T1_Rente,9)-0.005+0.000005)*Berekening!E46&gt;0,-1000000000000,1000000000000),-1000000000000)))</f>
        <v>0</v>
      </c>
      <c r="F50" s="29" t="n">
        <f aca="false">MAX(0,IF((INDEX(T1_Rente,9)+0.000005)&gt;Berekening!F10,(Berekening!F45-(INDEX(T1_Rente,9)+0.000005)*Berekening!F46)/(360*((INDEX(T1_Rente,9)+0.000005)-Berekening!F10)),IF((INDEX(T1_Rente,9)+0.000005)=Berekening!F10,IF(Berekening!F45-(INDEX(T1_Rente,9)+0.000005)*Berekening!F46&lt;=0,-1000000000000,1000000000000),-1000000000000)),IF((INDEX(T1_Rente,9)-0.005+0.000005)&lt;Berekening!F10,(Berekening!F45-(INDEX(T1_Rente,9)-0.005+0.000005)*Berekening!F46)/(360*((INDEX(T1_Rente,9)-0.005+0.000005)-Berekening!F10)),IF((INDEX(T1_Rente,9)-0.005+0.000005)=Berekening!F10,IF(Berekening!F45-(INDEX(T1_Rente,9)-0.005+0.000005)*Berekening!F46&gt;0,-1000000000000,1000000000000),-1000000000000)))</f>
        <v>0</v>
      </c>
      <c r="G50" s="29" t="n">
        <f aca="false">MAX(0,IF((INDEX(T1_Rente,9)+0.000005)&gt;Berekening!G10,(Berekening!G45-(INDEX(T1_Rente,9)+0.000005)*Berekening!G46)/(360*((INDEX(T1_Rente,9)+0.000005)-Berekening!G10)),IF((INDEX(T1_Rente,9)+0.000005)=Berekening!G10,IF(Berekening!G45-(INDEX(T1_Rente,9)+0.000005)*Berekening!G46&lt;=0,-1000000000000,1000000000000),-1000000000000)),IF((INDEX(T1_Rente,9)-0.005+0.000005)&lt;Berekening!G10,(Berekening!G45-(INDEX(T1_Rente,9)-0.005+0.000005)*Berekening!G46)/(360*((INDEX(T1_Rente,9)-0.005+0.000005)-Berekening!G10)),IF((INDEX(T1_Rente,9)-0.005+0.000005)=Berekening!G10,IF(Berekening!G45-(INDEX(T1_Rente,9)-0.005+0.000005)*Berekening!G46&gt;0,-1000000000000,1000000000000),-1000000000000)))</f>
        <v>0</v>
      </c>
      <c r="H50" s="29" t="n">
        <f aca="false">MAX(0,IF((INDEX(T1_Rente,9)+0.000005)&gt;Berekening!H10,(Berekening!H45-(INDEX(T1_Rente,9)+0.000005)*Berekening!H46)/(360*((INDEX(T1_Rente,9)+0.000005)-Berekening!H10)),IF((INDEX(T1_Rente,9)+0.000005)=Berekening!H10,IF(Berekening!H45-(INDEX(T1_Rente,9)+0.000005)*Berekening!H46&lt;=0,-1000000000000,1000000000000),-1000000000000)),IF((INDEX(T1_Rente,9)-0.005+0.000005)&lt;Berekening!H10,(Berekening!H45-(INDEX(T1_Rente,9)-0.005+0.000005)*Berekening!H46)/(360*((INDEX(T1_Rente,9)-0.005+0.000005)-Berekening!H10)),IF((INDEX(T1_Rente,9)-0.005+0.000005)=Berekening!H10,IF(Berekening!H45-(INDEX(T1_Rente,9)-0.005+0.000005)*Berekening!H46&gt;0,-1000000000000,1000000000000),-1000000000000)))</f>
        <v>0</v>
      </c>
      <c r="I50" s="29" t="n">
        <f aca="false">MAX(0,IF((INDEX(T1_Rente,9)+0.000005)&gt;Berekening!I10,(Berekening!I45-(INDEX(T1_Rente,9)+0.000005)*Berekening!I46)/(360*((INDEX(T1_Rente,9)+0.000005)-Berekening!I10)),IF((INDEX(T1_Rente,9)+0.000005)=Berekening!I10,IF(Berekening!I45-(INDEX(T1_Rente,9)+0.000005)*Berekening!I46&lt;=0,-1000000000000,1000000000000),-1000000000000)),IF((INDEX(T1_Rente,9)-0.005+0.000005)&lt;Berekening!I10,(Berekening!I45-(INDEX(T1_Rente,9)-0.005+0.000005)*Berekening!I46)/(360*((INDEX(T1_Rente,9)-0.005+0.000005)-Berekening!I10)),IF((INDEX(T1_Rente,9)-0.005+0.000005)=Berekening!I10,IF(Berekening!I45-(INDEX(T1_Rente,9)-0.005+0.000005)*Berekening!I46&gt;0,-1000000000000,1000000000000),-1000000000000)))</f>
        <v>0</v>
      </c>
      <c r="J50" s="29" t="n">
        <f aca="false">MAX(0,IF((INDEX(T1_Rente,9)+0.000005)&gt;Berekening!J10,(Berekening!J45-(INDEX(T1_Rente,9)+0.000005)*Berekening!J46)/(360*((INDEX(T1_Rente,9)+0.000005)-Berekening!J10)),IF((INDEX(T1_Rente,9)+0.000005)=Berekening!J10,IF(Berekening!J45-(INDEX(T1_Rente,9)+0.000005)*Berekening!J46&lt;=0,-1000000000000,1000000000000),-1000000000000)),IF((INDEX(T1_Rente,9)-0.005+0.000005)&lt;Berekening!J10,(Berekening!J45-(INDEX(T1_Rente,9)-0.005+0.000005)*Berekening!J46)/(360*((INDEX(T1_Rente,9)-0.005+0.000005)-Berekening!J10)),IF((INDEX(T1_Rente,9)-0.005+0.000005)=Berekening!J10,IF(Berekening!J45-(INDEX(T1_Rente,9)-0.005+0.000005)*Berekening!J46&gt;0,-1000000000000,1000000000000),-1000000000000)))</f>
        <v>0</v>
      </c>
      <c r="K50" s="29" t="n">
        <f aca="false">MAX(0,IF((INDEX(T1_Rente,9)+0.000005)&gt;Berekening!K10,(Berekening!K45-(INDEX(T1_Rente,9)+0.000005)*Berekening!K46)/(360*((INDEX(T1_Rente,9)+0.000005)-Berekening!K10)),IF((INDEX(T1_Rente,9)+0.000005)=Berekening!K10,IF(Berekening!K45-(INDEX(T1_Rente,9)+0.000005)*Berekening!K46&lt;=0,-1000000000000,1000000000000),-1000000000000)),IF((INDEX(T1_Rente,9)-0.005+0.000005)&lt;Berekening!K10,(Berekening!K45-(INDEX(T1_Rente,9)-0.005+0.000005)*Berekening!K46)/(360*((INDEX(T1_Rente,9)-0.005+0.000005)-Berekening!K10)),IF((INDEX(T1_Rente,9)-0.005+0.000005)=Berekening!K10,IF(Berekening!K45-(INDEX(T1_Rente,9)-0.005+0.000005)*Berekening!K46&gt;0,-1000000000000,1000000000000),-1000000000000)))</f>
        <v>0</v>
      </c>
      <c r="L50" s="29" t="n">
        <f aca="false">MAX(0,IF((INDEX(T1_Rente,9)+0.000005)&gt;Berekening!L10,(Berekening!L45-(INDEX(T1_Rente,9)+0.000005)*Berekening!L46)/(360*((INDEX(T1_Rente,9)+0.000005)-Berekening!L10)),IF((INDEX(T1_Rente,9)+0.000005)=Berekening!L10,IF(Berekening!L45-(INDEX(T1_Rente,9)+0.000005)*Berekening!L46&lt;=0,-1000000000000,1000000000000),-1000000000000)),IF((INDEX(T1_Rente,9)-0.005+0.000005)&lt;Berekening!L10,(Berekening!L45-(INDEX(T1_Rente,9)-0.005+0.000005)*Berekening!L46)/(360*((INDEX(T1_Rente,9)-0.005+0.000005)-Berekening!L10)),IF((INDEX(T1_Rente,9)-0.005+0.000005)=Berekening!L10,IF(Berekening!L45-(INDEX(T1_Rente,9)-0.005+0.000005)*Berekening!L46&gt;0,-1000000000000,1000000000000),-1000000000000)))</f>
        <v>0</v>
      </c>
      <c r="M50" s="29" t="n">
        <f aca="false">MAX(0,IF((INDEX(T1_Rente,9)+0.000005)&gt;Berekening!M10,(Berekening!M45-(INDEX(T1_Rente,9)+0.000005)*Berekening!M46)/(360*((INDEX(T1_Rente,9)+0.000005)-Berekening!M10)),IF((INDEX(T1_Rente,9)+0.000005)=Berekening!M10,IF(Berekening!M45-(INDEX(T1_Rente,9)+0.000005)*Berekening!M46&lt;=0,-1000000000000,1000000000000),-1000000000000)),IF((INDEX(T1_Rente,9)-0.005+0.000005)&lt;Berekening!M10,(Berekening!M45-(INDEX(T1_Rente,9)-0.005+0.000005)*Berekening!M46)/(360*((INDEX(T1_Rente,9)-0.005+0.000005)-Berekening!M10)),IF((INDEX(T1_Rente,9)-0.005+0.000005)=Berekening!M10,IF(Berekening!M45-(INDEX(T1_Rente,9)-0.005+0.000005)*Berekening!M46&gt;0,-1000000000000,1000000000000),-1000000000000)))</f>
        <v>0</v>
      </c>
    </row>
    <row r="51" customFormat="false" ht="15" hidden="false" customHeight="false" outlineLevel="0" collapsed="false">
      <c r="A51" s="9" t="s">
        <v>334</v>
      </c>
      <c r="B51" s="19" t="s">
        <v>101</v>
      </c>
      <c r="C51" s="29" t="n">
        <f aca="false">MIN(1000000000000,IF((INDEX(T1_Rente,9)+0.000005)&lt;Berekening!C10,(Berekening!C45-(INDEX(T1_Rente,9)+0.000005)*Berekening!C46)/(360*((INDEX(T1_Rente,9)+0.000005)-Berekening!C10)),1000000000000),IF((INDEX(T1_Rente,9)-0.005+0.000005)&gt;Berekening!C10,(Berekening!C45-(INDEX(T1_Rente,9)-0.005+0.000005)*Berekening!C46)/(360*((INDEX(T1_Rente,9)-0.005+0.000005)-Berekening!C10)),1000000000000))</f>
        <v>-3594958.53302952</v>
      </c>
      <c r="D51" s="29" t="n">
        <f aca="false">MIN(1000000000000,IF((INDEX(T1_Rente,9)+0.000005)&lt;Berekening!D10,(Berekening!D45-(INDEX(T1_Rente,9)+0.000005)*Berekening!D46)/(360*((INDEX(T1_Rente,9)+0.000005)-Berekening!D10)),1000000000000),IF((INDEX(T1_Rente,9)-0.005+0.000005)&gt;Berekening!D10,(Berekening!D45-(INDEX(T1_Rente,9)-0.005+0.000005)*Berekening!D46)/(360*((INDEX(T1_Rente,9)-0.005+0.000005)-Berekening!D10)),1000000000000))</f>
        <v>-3595040.50066022</v>
      </c>
      <c r="E51" s="29" t="n">
        <f aca="false">MIN(1000000000000,IF((INDEX(T1_Rente,9)+0.000005)&lt;Berekening!E10,(Berekening!E45-(INDEX(T1_Rente,9)+0.000005)*Berekening!E46)/(360*((INDEX(T1_Rente,9)+0.000005)-Berekening!E10)),1000000000000),IF((INDEX(T1_Rente,9)-0.005+0.000005)&gt;Berekening!E10,(Berekening!E45-(INDEX(T1_Rente,9)-0.005+0.000005)*Berekening!E46)/(360*((INDEX(T1_Rente,9)-0.005+0.000005)-Berekening!E10)),1000000000000))</f>
        <v>-922.460565755087</v>
      </c>
      <c r="F51" s="29" t="n">
        <f aca="false">MIN(1000000000000,IF((INDEX(T1_Rente,9)+0.000005)&lt;Berekening!F10,(Berekening!F45-(INDEX(T1_Rente,9)+0.000005)*Berekening!F46)/(360*((INDEX(T1_Rente,9)+0.000005)-Berekening!F10)),1000000000000),IF((INDEX(T1_Rente,9)-0.005+0.000005)&gt;Berekening!F10,(Berekening!F45-(INDEX(T1_Rente,9)-0.005+0.000005)*Berekening!F46)/(360*((INDEX(T1_Rente,9)-0.005+0.000005)-Berekening!F10)),1000000000000))</f>
        <v>-2232469249.0122</v>
      </c>
      <c r="G51" s="29" t="n">
        <f aca="false">MIN(1000000000000,IF((INDEX(T1_Rente,9)+0.000005)&lt;Berekening!G10,(Berekening!G45-(INDEX(T1_Rente,9)+0.000005)*Berekening!G46)/(360*((INDEX(T1_Rente,9)+0.000005)-Berekening!G10)),1000000000000),IF((INDEX(T1_Rente,9)-0.005+0.000005)&gt;Berekening!G10,(Berekening!G45-(INDEX(T1_Rente,9)-0.005+0.000005)*Berekening!G46)/(360*((INDEX(T1_Rente,9)-0.005+0.000005)-Berekening!G10)),1000000000000))</f>
        <v>0</v>
      </c>
      <c r="H51" s="29" t="n">
        <f aca="false">MIN(1000000000000,IF((INDEX(T1_Rente,9)+0.000005)&lt;Berekening!H10,(Berekening!H45-(INDEX(T1_Rente,9)+0.000005)*Berekening!H46)/(360*((INDEX(T1_Rente,9)+0.000005)-Berekening!H10)),1000000000000),IF((INDEX(T1_Rente,9)-0.005+0.000005)&gt;Berekening!H10,(Berekening!H45-(INDEX(T1_Rente,9)-0.005+0.000005)*Berekening!H46)/(360*((INDEX(T1_Rente,9)-0.005+0.000005)-Berekening!H10)),1000000000000))</f>
        <v>0</v>
      </c>
      <c r="I51" s="29" t="n">
        <f aca="false">MIN(1000000000000,IF((INDEX(T1_Rente,9)+0.000005)&lt;Berekening!I10,(Berekening!I45-(INDEX(T1_Rente,9)+0.000005)*Berekening!I46)/(360*((INDEX(T1_Rente,9)+0.000005)-Berekening!I10)),1000000000000),IF((INDEX(T1_Rente,9)-0.005+0.000005)&gt;Berekening!I10,(Berekening!I45-(INDEX(T1_Rente,9)-0.005+0.000005)*Berekening!I46)/(360*((INDEX(T1_Rente,9)-0.005+0.000005)-Berekening!I10)),1000000000000))</f>
        <v>0</v>
      </c>
      <c r="J51" s="29" t="n">
        <f aca="false">MIN(1000000000000,IF((INDEX(T1_Rente,9)+0.000005)&lt;Berekening!J10,(Berekening!J45-(INDEX(T1_Rente,9)+0.000005)*Berekening!J46)/(360*((INDEX(T1_Rente,9)+0.000005)-Berekening!J10)),1000000000000),IF((INDEX(T1_Rente,9)-0.005+0.000005)&gt;Berekening!J10,(Berekening!J45-(INDEX(T1_Rente,9)-0.005+0.000005)*Berekening!J46)/(360*((INDEX(T1_Rente,9)-0.005+0.000005)-Berekening!J10)),1000000000000))</f>
        <v>-3594958.53302952</v>
      </c>
      <c r="K51" s="29" t="n">
        <f aca="false">MIN(1000000000000,IF((INDEX(T1_Rente,9)+0.000005)&lt;Berekening!K10,(Berekening!K45-(INDEX(T1_Rente,9)+0.000005)*Berekening!K46)/(360*((INDEX(T1_Rente,9)+0.000005)-Berekening!K10)),1000000000000),IF((INDEX(T1_Rente,9)-0.005+0.000005)&gt;Berekening!K10,(Berekening!K45-(INDEX(T1_Rente,9)-0.005+0.000005)*Berekening!K46)/(360*((INDEX(T1_Rente,9)-0.005+0.000005)-Berekening!K10)),1000000000000))</f>
        <v>-764.000715691536</v>
      </c>
      <c r="L51" s="29" t="n">
        <f aca="false">MIN(1000000000000,IF((INDEX(T1_Rente,9)+0.000005)&lt;Berekening!L10,(Berekening!L45-(INDEX(T1_Rente,9)+0.000005)*Berekening!L46)/(360*((INDEX(T1_Rente,9)+0.000005)-Berekening!L10)),1000000000000),IF((INDEX(T1_Rente,9)-0.005+0.000005)&gt;Berekening!L10,(Berekening!L45-(INDEX(T1_Rente,9)-0.005+0.000005)*Berekening!L46)/(360*((INDEX(T1_Rente,9)-0.005+0.000005)-Berekening!L10)),1000000000000))</f>
        <v>-3594958.53302952</v>
      </c>
      <c r="M51" s="29" t="n">
        <f aca="false">MIN(1000000000000,IF((INDEX(T1_Rente,9)+0.000005)&lt;Berekening!M10,(Berekening!M45-(INDEX(T1_Rente,9)+0.000005)*Berekening!M46)/(360*((INDEX(T1_Rente,9)+0.000005)-Berekening!M10)),1000000000000),IF((INDEX(T1_Rente,9)-0.005+0.000005)&gt;Berekening!M10,(Berekening!M45-(INDEX(T1_Rente,9)-0.005+0.000005)*Berekening!M46)/(360*((INDEX(T1_Rente,9)-0.005+0.000005)-Berekening!M10)),1000000000000))</f>
        <v>-3594958.53302952</v>
      </c>
    </row>
    <row r="52" customFormat="false" ht="15" hidden="false" customHeight="false" outlineLevel="0" collapsed="false">
      <c r="A52" s="9" t="s">
        <v>335</v>
      </c>
      <c r="B52" s="19" t="s">
        <v>101</v>
      </c>
      <c r="C52" s="29" t="n">
        <f aca="false">IF(C50&gt;C51,-1,IF(C49&lt;C50-0.000000001,-1,IF(C49&gt;C51,MAX(C50,C51-1),C49)))</f>
        <v>-1</v>
      </c>
      <c r="D52" s="29" t="n">
        <f aca="false">IF(D50&gt;D51,-1,IF(D49&lt;D50-0.000000001,-1,IF(D49&gt;D51,MAX(D50,D51-1),D49)))</f>
        <v>-1</v>
      </c>
      <c r="E52" s="29" t="n">
        <f aca="false">IF(E50&gt;E51,-1,IF(E49&lt;E50-0.000000001,-1,IF(E49&gt;E51,MAX(E50,E51-1),E49)))</f>
        <v>-1</v>
      </c>
      <c r="F52" s="29" t="n">
        <f aca="false">IF(F50&gt;F51,-1,IF(F49&lt;F50-0.000000001,-1,IF(F49&gt;F51,MAX(F50,F51-1),F49)))</f>
        <v>-1</v>
      </c>
      <c r="G52" s="29" t="n">
        <f aca="false">IF(G50&gt;G51,-1,IF(G49&lt;G50-0.000000001,-1,IF(G49&gt;G51,MAX(G50,G51-1),G49)))</f>
        <v>0</v>
      </c>
      <c r="H52" s="29" t="n">
        <f aca="false">IF(H50&gt;H51,-1,IF(H49&lt;H50-0.000000001,-1,IF(H49&gt;H51,MAX(H50,H51-1),H49)))</f>
        <v>0</v>
      </c>
      <c r="I52" s="29" t="n">
        <f aca="false">IF(I50&gt;I51,-1,IF(I49&lt;I50-0.000000001,-1,IF(I49&gt;I51,MAX(I50,I51-1),I49)))</f>
        <v>0</v>
      </c>
      <c r="J52" s="29" t="n">
        <f aca="false">IF(J50&gt;J51,-1,IF(J49&lt;J50-0.000000001,-1,IF(J49&gt;J51,MAX(J50,J51-1),J49)))</f>
        <v>-1</v>
      </c>
      <c r="K52" s="29" t="n">
        <f aca="false">IF(K50&gt;K51,-1,IF(K49&lt;K50-0.000000001,-1,IF(K49&gt;K51,MAX(K50,K51-1),K49)))</f>
        <v>-1</v>
      </c>
      <c r="L52" s="29" t="n">
        <f aca="false">IF(L50&gt;L51,-1,IF(L49&lt;L50-0.000000001,-1,IF(L49&gt;L51,MAX(L50,L51-1),L49)))</f>
        <v>-1</v>
      </c>
      <c r="M52" s="29" t="n">
        <f aca="false">IF(M50&gt;M51,-1,IF(M49&lt;M50-0.000000001,-1,IF(M49&gt;M51,MAX(M50,M51-1),M49)))</f>
        <v>-1</v>
      </c>
    </row>
    <row r="53" customFormat="false" ht="15" hidden="false" customHeight="false" outlineLevel="0" collapsed="false">
      <c r="A53" s="9" t="s">
        <v>336</v>
      </c>
      <c r="B53" s="19" t="s">
        <v>157</v>
      </c>
      <c r="C53" s="38" t="n">
        <f aca="false">INDEX(T1_Tabel,Berekening!C80,10)+(Berekening!C79-INDEX(T1_Inkomen,Berekening!C80))/(INDEX(T1_Inkomen,Berekening!C80+1)-INDEX(T1_Inkomen,Berekening!C80))*(INDEX(T1_Tabel,Berekening!C80+1,10)-INDEX(T1_Tabel,Berekening!C80,10))</f>
        <v>0.308</v>
      </c>
      <c r="D53" s="38" t="n">
        <f aca="false">INDEX(T1_Tabel,Berekening!D80,10)+(Berekening!D79-INDEX(T1_Inkomen,Berekening!D80))/(INDEX(T1_Inkomen,Berekening!D80+1)-INDEX(T1_Inkomen,Berekening!D80))*(INDEX(T1_Tabel,Berekening!D80+1,10)-INDEX(T1_Tabel,Berekening!D80,10))</f>
        <v>0.308</v>
      </c>
      <c r="E53" s="38" t="n">
        <f aca="false">INDEX(T1_Tabel,Berekening!E80,10)+(Berekening!E79-INDEX(T1_Inkomen,Berekening!E80))/(INDEX(T1_Inkomen,Berekening!E80+1)-INDEX(T1_Inkomen,Berekening!E80))*(INDEX(T1_Tabel,Berekening!E80+1,10)-INDEX(T1_Tabel,Berekening!E80,10))</f>
        <v>0.308</v>
      </c>
      <c r="F53" s="38" t="n">
        <f aca="false">INDEX(T1_Tabel,Berekening!F80,10)+(Berekening!F79-INDEX(T1_Inkomen,Berekening!F80))/(INDEX(T1_Inkomen,Berekening!F80+1)-INDEX(T1_Inkomen,Berekening!F80))*(INDEX(T1_Tabel,Berekening!F80+1,10)-INDEX(T1_Tabel,Berekening!F80,10))</f>
        <v>0.308</v>
      </c>
      <c r="G53" s="38" t="n">
        <f aca="false">INDEX(T1_Tabel,Berekening!G80,10)+(Berekening!G79-INDEX(T1_Inkomen,Berekening!G80))/(INDEX(T1_Inkomen,Berekening!G80+1)-INDEX(T1_Inkomen,Berekening!G80))*(INDEX(T1_Tabel,Berekening!G80+1,10)-INDEX(T1_Tabel,Berekening!G80,10))</f>
        <v>0.264</v>
      </c>
      <c r="H53" s="38" t="n">
        <f aca="false">INDEX(T1_Tabel,Berekening!H80,10)+(Berekening!H79-INDEX(T1_Inkomen,Berekening!H80))/(INDEX(T1_Inkomen,Berekening!H80+1)-INDEX(T1_Inkomen,Berekening!H80))*(INDEX(T1_Tabel,Berekening!H80+1,10)-INDEX(T1_Tabel,Berekening!H80,10))</f>
        <v>0.308</v>
      </c>
      <c r="I53" s="38" t="n">
        <f aca="false">INDEX(T1_Tabel,Berekening!I80,10)+(Berekening!I79-INDEX(T1_Inkomen,Berekening!I80))/(INDEX(T1_Inkomen,Berekening!I80+1)-INDEX(T1_Inkomen,Berekening!I80))*(INDEX(T1_Tabel,Berekening!I80+1,10)-INDEX(T1_Tabel,Berekening!I80,10))</f>
        <v>0.308</v>
      </c>
      <c r="J53" s="38" t="n">
        <f aca="false">INDEX(T1_Tabel,Berekening!J80,10)+(Berekening!J79-INDEX(T1_Inkomen,Berekening!J80))/(INDEX(T1_Inkomen,Berekening!J80+1)-INDEX(T1_Inkomen,Berekening!J80))*(INDEX(T1_Tabel,Berekening!J80+1,10)-INDEX(T1_Tabel,Berekening!J80,10))</f>
        <v>0.308</v>
      </c>
      <c r="K53" s="38" t="n">
        <f aca="false">INDEX(T1_Tabel,Berekening!K80,10)+(Berekening!K79-INDEX(T1_Inkomen,Berekening!K80))/(INDEX(T1_Inkomen,Berekening!K80+1)-INDEX(T1_Inkomen,Berekening!K80))*(INDEX(T1_Tabel,Berekening!K80+1,10)-INDEX(T1_Tabel,Berekening!K80,10))</f>
        <v>0.308</v>
      </c>
      <c r="L53" s="38" t="n">
        <f aca="false">INDEX(T1_Tabel,Berekening!L80,10)+(Berekening!L79-INDEX(T1_Inkomen,Berekening!L80))/(INDEX(T1_Inkomen,Berekening!L80+1)-INDEX(T1_Inkomen,Berekening!L80))*(INDEX(T1_Tabel,Berekening!L80+1,10)-INDEX(T1_Tabel,Berekening!L80,10))</f>
        <v>0.308</v>
      </c>
      <c r="M53" s="38" t="n">
        <f aca="false">INDEX(T1_Tabel,Berekening!M80,10)+(Berekening!M79-INDEX(T1_Inkomen,Berekening!M80))/(INDEX(T1_Inkomen,Berekening!M80+1)-INDEX(T1_Inkomen,Berekening!M80))*(INDEX(T1_Tabel,Berekening!M80+1,10)-INDEX(T1_Tabel,Berekening!M80,10))</f>
        <v>0.308</v>
      </c>
    </row>
    <row r="54" customFormat="false" ht="15" hidden="false" customHeight="false" outlineLevel="0" collapsed="false">
      <c r="A54" s="9" t="s">
        <v>337</v>
      </c>
      <c r="B54" s="19" t="s">
        <v>101</v>
      </c>
      <c r="C54" s="29" t="n">
        <f aca="false">MAX(0,(C53*C6/12-Berekening!C18-Berekening!C44)*Berekening!C11-Berekening!C75+C7)</f>
        <v>451412.895967702</v>
      </c>
      <c r="D54" s="29" t="n">
        <f aca="false">MAX(0,(D53*D6/12-Berekening!D18-Berekening!D44)*Berekening!D11-Berekening!D75+D7)</f>
        <v>480464.447921511</v>
      </c>
      <c r="E54" s="29" t="n">
        <f aca="false">MAX(0,(E53*E6/12-Berekening!E18-Berekening!E44)*Berekening!E11-Berekening!E75+E7)</f>
        <v>328765.352629168</v>
      </c>
      <c r="F54" s="29" t="n">
        <f aca="false">MAX(0,(F53*F6/12-Berekening!F18-Berekening!F44)*Berekening!F11-Berekening!F75+F7)</f>
        <v>435966.782875742</v>
      </c>
      <c r="G54" s="29" t="n">
        <f aca="false">MAX(0,(G53*G6/12-Berekening!G18-Berekening!G44)*Berekening!G11-Berekening!G75+G7)</f>
        <v>276808.090639758</v>
      </c>
      <c r="H54" s="29" t="n">
        <f aca="false">MAX(0,(H53*H6/12-Berekening!H18-Berekening!H44)*Berekening!H11-Berekening!H75+H7)</f>
        <v>723076.580926716</v>
      </c>
      <c r="I54" s="29" t="n">
        <f aca="false">MAX(0,(I53*I6/12-Berekening!I18-Berekening!I44)*Berekening!I11-Berekening!I75+I7)</f>
        <v>1004184.80274139</v>
      </c>
      <c r="J54" s="29" t="n">
        <f aca="false">MAX(0,(J53*J6/12-Berekening!J18-Berekening!J44)*Berekening!J11-Berekening!J75+J7)</f>
        <v>488698.965593346</v>
      </c>
      <c r="K54" s="29" t="n">
        <f aca="false">MAX(0,(K53*K6/12-Berekening!K18-Berekening!K44)*Berekening!K11-Berekening!K75+K7)</f>
        <v>241030.431006186</v>
      </c>
      <c r="L54" s="29" t="n">
        <f aca="false">MAX(0,(L53*L6/12-Berekening!L18-Berekening!L44)*Berekening!L11-Berekening!L75+L7)</f>
        <v>0</v>
      </c>
      <c r="M54" s="29" t="n">
        <f aca="false">MAX(0,(M53*M6/12-Berekening!M18-Berekening!M44)*Berekening!M11-Berekening!M75+M7)</f>
        <v>451412.895967702</v>
      </c>
    </row>
    <row r="55" customFormat="false" ht="15" hidden="false" customHeight="false" outlineLevel="0" collapsed="false">
      <c r="A55" s="9" t="s">
        <v>338</v>
      </c>
      <c r="B55" s="19" t="s">
        <v>101</v>
      </c>
      <c r="C55" s="29" t="n">
        <f aca="false">MAX(0,IF((INDEX(T1_Rente,10)-0.005+0.000005)&lt;Berekening!C10,(Berekening!C45-(INDEX(T1_Rente,10)-0.005+0.000005)*Berekening!C46)/(360*((INDEX(T1_Rente,10)-0.005+0.000005)-Berekening!C10)),IF((INDEX(T1_Rente,10)-0.005+0.000005)=Berekening!C10,IF(Berekening!C45-(INDEX(T1_Rente,10)-0.005+0.000005)*Berekening!C46&gt;0,-1000000000000,1000000000000),-1000000000000)))</f>
        <v>0</v>
      </c>
      <c r="D55" s="29" t="n">
        <f aca="false">MAX(0,IF((INDEX(T1_Rente,10)-0.005+0.000005)&lt;Berekening!D10,(Berekening!D45-(INDEX(T1_Rente,10)-0.005+0.000005)*Berekening!D46)/(360*((INDEX(T1_Rente,10)-0.005+0.000005)-Berekening!D10)),IF((INDEX(T1_Rente,10)-0.005+0.000005)=Berekening!D10,IF(Berekening!D45-(INDEX(T1_Rente,10)-0.005+0.000005)*Berekening!D46&gt;0,-1000000000000,1000000000000),-1000000000000)))</f>
        <v>0</v>
      </c>
      <c r="E55" s="29" t="n">
        <f aca="false">MAX(0,IF((INDEX(T1_Rente,10)-0.005+0.000005)&lt;Berekening!E10,(Berekening!E45-(INDEX(T1_Rente,10)-0.005+0.000005)*Berekening!E46)/(360*((INDEX(T1_Rente,10)-0.005+0.000005)-Berekening!E10)),IF((INDEX(T1_Rente,10)-0.005+0.000005)=Berekening!E10,IF(Berekening!E45-(INDEX(T1_Rente,10)-0.005+0.000005)*Berekening!E46&gt;0,-1000000000000,1000000000000),-1000000000000)))</f>
        <v>0</v>
      </c>
      <c r="F55" s="29" t="n">
        <f aca="false">MAX(0,IF((INDEX(T1_Rente,10)-0.005+0.000005)&lt;Berekening!F10,(Berekening!F45-(INDEX(T1_Rente,10)-0.005+0.000005)*Berekening!F46)/(360*((INDEX(T1_Rente,10)-0.005+0.000005)-Berekening!F10)),IF((INDEX(T1_Rente,10)-0.005+0.000005)=Berekening!F10,IF(Berekening!F45-(INDEX(T1_Rente,10)-0.005+0.000005)*Berekening!F46&gt;0,-1000000000000,1000000000000),-1000000000000)))</f>
        <v>0</v>
      </c>
      <c r="G55" s="29" t="n">
        <f aca="false">MAX(0,IF((INDEX(T1_Rente,10)-0.005+0.000005)&lt;Berekening!G10,(Berekening!G45-(INDEX(T1_Rente,10)-0.005+0.000005)*Berekening!G46)/(360*((INDEX(T1_Rente,10)-0.005+0.000005)-Berekening!G10)),IF((INDEX(T1_Rente,10)-0.005+0.000005)=Berekening!G10,IF(Berekening!G45-(INDEX(T1_Rente,10)-0.005+0.000005)*Berekening!G46&gt;0,-1000000000000,1000000000000),-1000000000000)))</f>
        <v>0</v>
      </c>
      <c r="H55" s="29" t="n">
        <f aca="false">MAX(0,IF((INDEX(T1_Rente,10)-0.005+0.000005)&lt;Berekening!H10,(Berekening!H45-(INDEX(T1_Rente,10)-0.005+0.000005)*Berekening!H46)/(360*((INDEX(T1_Rente,10)-0.005+0.000005)-Berekening!H10)),IF((INDEX(T1_Rente,10)-0.005+0.000005)=Berekening!H10,IF(Berekening!H45-(INDEX(T1_Rente,10)-0.005+0.000005)*Berekening!H46&gt;0,-1000000000000,1000000000000),-1000000000000)))</f>
        <v>0</v>
      </c>
      <c r="I55" s="29" t="n">
        <f aca="false">MAX(0,IF((INDEX(T1_Rente,10)-0.005+0.000005)&lt;Berekening!I10,(Berekening!I45-(INDEX(T1_Rente,10)-0.005+0.000005)*Berekening!I46)/(360*((INDEX(T1_Rente,10)-0.005+0.000005)-Berekening!I10)),IF((INDEX(T1_Rente,10)-0.005+0.000005)=Berekening!I10,IF(Berekening!I45-(INDEX(T1_Rente,10)-0.005+0.000005)*Berekening!I46&gt;0,-1000000000000,1000000000000),-1000000000000)))</f>
        <v>0</v>
      </c>
      <c r="J55" s="29" t="n">
        <f aca="false">MAX(0,IF((INDEX(T1_Rente,10)-0.005+0.000005)&lt;Berekening!J10,(Berekening!J45-(INDEX(T1_Rente,10)-0.005+0.000005)*Berekening!J46)/(360*((INDEX(T1_Rente,10)-0.005+0.000005)-Berekening!J10)),IF((INDEX(T1_Rente,10)-0.005+0.000005)=Berekening!J10,IF(Berekening!J45-(INDEX(T1_Rente,10)-0.005+0.000005)*Berekening!J46&gt;0,-1000000000000,1000000000000),-1000000000000)))</f>
        <v>0</v>
      </c>
      <c r="K55" s="29" t="n">
        <f aca="false">MAX(0,IF((INDEX(T1_Rente,10)-0.005+0.000005)&lt;Berekening!K10,(Berekening!K45-(INDEX(T1_Rente,10)-0.005+0.000005)*Berekening!K46)/(360*((INDEX(T1_Rente,10)-0.005+0.000005)-Berekening!K10)),IF((INDEX(T1_Rente,10)-0.005+0.000005)=Berekening!K10,IF(Berekening!K45-(INDEX(T1_Rente,10)-0.005+0.000005)*Berekening!K46&gt;0,-1000000000000,1000000000000),-1000000000000)))</f>
        <v>0</v>
      </c>
      <c r="L55" s="29" t="n">
        <f aca="false">MAX(0,IF((INDEX(T1_Rente,10)-0.005+0.000005)&lt;Berekening!L10,(Berekening!L45-(INDEX(T1_Rente,10)-0.005+0.000005)*Berekening!L46)/(360*((INDEX(T1_Rente,10)-0.005+0.000005)-Berekening!L10)),IF((INDEX(T1_Rente,10)-0.005+0.000005)=Berekening!L10,IF(Berekening!L45-(INDEX(T1_Rente,10)-0.005+0.000005)*Berekening!L46&gt;0,-1000000000000,1000000000000),-1000000000000)))</f>
        <v>0</v>
      </c>
      <c r="M55" s="29" t="n">
        <f aca="false">MAX(0,IF((INDEX(T1_Rente,10)-0.005+0.000005)&lt;Berekening!M10,(Berekening!M45-(INDEX(T1_Rente,10)-0.005+0.000005)*Berekening!M46)/(360*((INDEX(T1_Rente,10)-0.005+0.000005)-Berekening!M10)),IF((INDEX(T1_Rente,10)-0.005+0.000005)=Berekening!M10,IF(Berekening!M45-(INDEX(T1_Rente,10)-0.005+0.000005)*Berekening!M46&gt;0,-1000000000000,1000000000000),-1000000000000)))</f>
        <v>0</v>
      </c>
    </row>
    <row r="56" customFormat="false" ht="15" hidden="false" customHeight="false" outlineLevel="0" collapsed="false">
      <c r="A56" s="9" t="s">
        <v>339</v>
      </c>
      <c r="B56" s="19" t="s">
        <v>101</v>
      </c>
      <c r="C56" s="29" t="n">
        <f aca="false">MIN(1000000000000,IF((INDEX(T1_Rente,10)-0.005+0.000005)&gt;Berekening!C10,(Berekening!C45-(INDEX(T1_Rente,10)-0.005+0.000005)*Berekening!C46)/(360*((INDEX(T1_Rente,10)-0.005+0.000005)-Berekening!C10)),1000000000000))</f>
        <v>-1730609.04401275</v>
      </c>
      <c r="D56" s="29" t="n">
        <f aca="false">MIN(1000000000000,IF((INDEX(T1_Rente,10)-0.005+0.000005)&gt;Berekening!D10,(Berekening!D45-(INDEX(T1_Rente,10)-0.005+0.000005)*Berekening!D46)/(360*((INDEX(T1_Rente,10)-0.005+0.000005)-Berekening!D10)),1000000000000))</f>
        <v>-1762041.98698951</v>
      </c>
      <c r="E56" s="29" t="n">
        <f aca="false">MIN(1000000000000,IF((INDEX(T1_Rente,10)-0.005+0.000005)&gt;Berekening!E10,(Berekening!E45-(INDEX(T1_Rente,10)-0.005+0.000005)*Berekening!E46)/(360*((INDEX(T1_Rente,10)-0.005+0.000005)-Berekening!E10)),1000000000000))</f>
        <v>-353745.132229899</v>
      </c>
      <c r="F56" s="29" t="n">
        <f aca="false">MIN(1000000000000,IF((INDEX(T1_Rente,10)-0.005+0.000005)&gt;Berekening!F10,(Berekening!F45-(INDEX(T1_Rente,10)-0.005+0.000005)*Berekening!F46)/(360*((INDEX(T1_Rente,10)-0.005+0.000005)-Berekening!F10)),1000000000000))</f>
        <v>-2802514.74559907</v>
      </c>
      <c r="G56" s="29" t="n">
        <f aca="false">MIN(1000000000000,IF((INDEX(T1_Rente,10)-0.005+0.000005)&gt;Berekening!G10,(Berekening!G45-(INDEX(T1_Rente,10)-0.005+0.000005)*Berekening!G46)/(360*((INDEX(T1_Rente,10)-0.005+0.000005)-Berekening!G10)),1000000000000))</f>
        <v>0</v>
      </c>
      <c r="H56" s="29" t="n">
        <f aca="false">MIN(1000000000000,IF((INDEX(T1_Rente,10)-0.005+0.000005)&gt;Berekening!H10,(Berekening!H45-(INDEX(T1_Rente,10)-0.005+0.000005)*Berekening!H46)/(360*((INDEX(T1_Rente,10)-0.005+0.000005)-Berekening!H10)),1000000000000))</f>
        <v>0</v>
      </c>
      <c r="I56" s="29" t="n">
        <f aca="false">MIN(1000000000000,IF((INDEX(T1_Rente,10)-0.005+0.000005)&gt;Berekening!I10,(Berekening!I45-(INDEX(T1_Rente,10)-0.005+0.000005)*Berekening!I46)/(360*((INDEX(T1_Rente,10)-0.005+0.000005)-Berekening!I10)),1000000000000))</f>
        <v>0</v>
      </c>
      <c r="J56" s="29" t="n">
        <f aca="false">MIN(1000000000000,IF((INDEX(T1_Rente,10)-0.005+0.000005)&gt;Berekening!J10,(Berekening!J45-(INDEX(T1_Rente,10)-0.005+0.000005)*Berekening!J46)/(360*((INDEX(T1_Rente,10)-0.005+0.000005)-Berekening!J10)),1000000000000))</f>
        <v>-1730609.04401275</v>
      </c>
      <c r="K56" s="29" t="n">
        <f aca="false">MIN(1000000000000,IF((INDEX(T1_Rente,10)-0.005+0.000005)&gt;Berekening!K10,(Berekening!K45-(INDEX(T1_Rente,10)-0.005+0.000005)*Berekening!K46)/(360*((INDEX(T1_Rente,10)-0.005+0.000005)-Berekening!K10)),1000000000000))</f>
        <v>-292978.956748235</v>
      </c>
      <c r="L56" s="29" t="n">
        <f aca="false">MIN(1000000000000,IF((INDEX(T1_Rente,10)-0.005+0.000005)&gt;Berekening!L10,(Berekening!L45-(INDEX(T1_Rente,10)-0.005+0.000005)*Berekening!L46)/(360*((INDEX(T1_Rente,10)-0.005+0.000005)-Berekening!L10)),1000000000000))</f>
        <v>-1730609.04401275</v>
      </c>
      <c r="M56" s="29" t="n">
        <f aca="false">MIN(1000000000000,IF((INDEX(T1_Rente,10)-0.005+0.000005)&gt;Berekening!M10,(Berekening!M45-(INDEX(T1_Rente,10)-0.005+0.000005)*Berekening!M46)/(360*((INDEX(T1_Rente,10)-0.005+0.000005)-Berekening!M10)),1000000000000))</f>
        <v>-1730609.04401275</v>
      </c>
    </row>
    <row r="57" customFormat="false" ht="15" hidden="false" customHeight="false" outlineLevel="0" collapsed="false">
      <c r="A57" s="9" t="s">
        <v>340</v>
      </c>
      <c r="B57" s="19" t="s">
        <v>101</v>
      </c>
      <c r="C57" s="29" t="n">
        <f aca="false">IF(C55&gt;C56,-1,IF(C54&lt;C55-0.000000001,-1,IF(C54&gt;C56,MAX(C55,C56-1),C54)))</f>
        <v>-1</v>
      </c>
      <c r="D57" s="29" t="n">
        <f aca="false">IF(D55&gt;D56,-1,IF(D54&lt;D55-0.000000001,-1,IF(D54&gt;D56,MAX(D55,D56-1),D54)))</f>
        <v>-1</v>
      </c>
      <c r="E57" s="29" t="n">
        <f aca="false">IF(E55&gt;E56,-1,IF(E54&lt;E55-0.000000001,-1,IF(E54&gt;E56,MAX(E55,E56-1),E54)))</f>
        <v>-1</v>
      </c>
      <c r="F57" s="29" t="n">
        <f aca="false">IF(F55&gt;F56,-1,IF(F54&lt;F55-0.000000001,-1,IF(F54&gt;F56,MAX(F55,F56-1),F54)))</f>
        <v>-1</v>
      </c>
      <c r="G57" s="29" t="n">
        <f aca="false">IF(G55&gt;G56,-1,IF(G54&lt;G55-0.000000001,-1,IF(G54&gt;G56,MAX(G55,G56-1),G54)))</f>
        <v>0</v>
      </c>
      <c r="H57" s="29" t="n">
        <f aca="false">IF(H55&gt;H56,-1,IF(H54&lt;H55-0.000000001,-1,IF(H54&gt;H56,MAX(H55,H56-1),H54)))</f>
        <v>0</v>
      </c>
      <c r="I57" s="29" t="n">
        <f aca="false">IF(I55&gt;I56,-1,IF(I54&lt;I55-0.000000001,-1,IF(I54&gt;I56,MAX(I55,I56-1),I54)))</f>
        <v>0</v>
      </c>
      <c r="J57" s="29" t="n">
        <f aca="false">IF(J55&gt;J56,-1,IF(J54&lt;J55-0.000000001,-1,IF(J54&gt;J56,MAX(J55,J56-1),J54)))</f>
        <v>-1</v>
      </c>
      <c r="K57" s="29" t="n">
        <f aca="false">IF(K55&gt;K56,-1,IF(K54&lt;K55-0.000000001,-1,IF(K54&gt;K56,MAX(K55,K56-1),K54)))</f>
        <v>-1</v>
      </c>
      <c r="L57" s="29" t="n">
        <f aca="false">IF(L55&gt;L56,-1,IF(L54&lt;L55-0.000000001,-1,IF(L54&gt;L56,MAX(L55,L56-1),L54)))</f>
        <v>-1</v>
      </c>
      <c r="M57" s="29" t="n">
        <f aca="false">IF(M55&gt;M56,-1,IF(M54&lt;M55-0.000000001,-1,IF(M54&gt;M56,MAX(M55,M56-1),M54)))</f>
        <v>-1</v>
      </c>
    </row>
    <row r="58" customFormat="false" ht="15" hidden="false" customHeight="false" outlineLevel="0" collapsed="false">
      <c r="A58" s="5" t="s">
        <v>341</v>
      </c>
      <c r="B58" s="19" t="s">
        <v>101</v>
      </c>
      <c r="C58" s="35" t="n">
        <f aca="false">MAX(0,C12,C17,C22,C27,C32,C37,C42,C47,C52,C57)</f>
        <v>328352.170374638</v>
      </c>
      <c r="D58" s="35" t="n">
        <f aca="false">MAX(0,D12,D17,D22,D27,D32,D37,D42,D47,D52,D57)</f>
        <v>357403.722328447</v>
      </c>
      <c r="E58" s="35" t="n">
        <f aca="false">MAX(0,E12,E17,E22,E27,E32,E37,E42,E47,E52,E57)</f>
        <v>270854.422938313</v>
      </c>
      <c r="F58" s="35" t="n">
        <f aca="false">MAX(0,F12,F17,F22,F27,F32,F37,F42,F47,F52,F57)</f>
        <v>317212.252008869</v>
      </c>
      <c r="G58" s="35" t="n">
        <f aca="false">MAX(0,G12,G17,G22,G27,G32,G37,G42,G47,G52,G57)</f>
        <v>259434.811732502</v>
      </c>
      <c r="H58" s="35" t="n">
        <f aca="false">MAX(0,H12,H17,H22,H27,H32,H37,H42,H47,H52,H57)</f>
        <v>684469.294466147</v>
      </c>
      <c r="I58" s="35" t="n">
        <f aca="false">MAX(0,I12,I17,I22,I27,I32,I37,I42,I47,I52,I57)</f>
        <v>946273.873050534</v>
      </c>
      <c r="J58" s="35" t="n">
        <f aca="false">MAX(0,J12,J17,J22,J27,J32,J37,J42,J47,J52,J57)</f>
        <v>365638.240000281</v>
      </c>
      <c r="K58" s="35" t="n">
        <f aca="false">MAX(0,K12,K17,K22,K27,K32,K37,K42,K47,K52,K57)</f>
        <v>183119.501315332</v>
      </c>
      <c r="L58" s="35" t="n">
        <f aca="false">MAX(0,L12,L17,L22,L27,L32,L37,L42,L47,L52,L57)</f>
        <v>0</v>
      </c>
      <c r="M58" s="35" t="n">
        <f aca="false">MAX(0,M12,M17,M22,M27,M32,M37,M42,M47,M52,M57)</f>
        <v>328352.170374638</v>
      </c>
    </row>
    <row r="59" customFormat="false" ht="15" hidden="false" customHeight="false" outlineLevel="0" collapsed="false">
      <c r="A59" s="7" t="s">
        <v>342</v>
      </c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</row>
    <row r="60" customFormat="false" ht="15" hidden="false" customHeight="false" outlineLevel="0" collapsed="false">
      <c r="A60" s="9" t="s">
        <v>289</v>
      </c>
      <c r="B60" s="19" t="s">
        <v>101</v>
      </c>
      <c r="C60" s="29" t="n">
        <f aca="false">Berekening!C93</f>
        <v>225000</v>
      </c>
      <c r="D60" s="29" t="n">
        <f aca="false">Berekening!D93</f>
        <v>225000</v>
      </c>
      <c r="E60" s="29" t="n">
        <f aca="false">Berekening!E93</f>
        <v>225000</v>
      </c>
      <c r="F60" s="29" t="n">
        <f aca="false">Berekening!F93</f>
        <v>225000</v>
      </c>
      <c r="G60" s="29" t="n">
        <f aca="false">Berekening!G93</f>
        <v>60000</v>
      </c>
      <c r="H60" s="29" t="n">
        <f aca="false">Berekening!H93</f>
        <v>150000</v>
      </c>
      <c r="I60" s="29" t="n">
        <f aca="false">Berekening!I93</f>
        <v>225000</v>
      </c>
      <c r="J60" s="29" t="n">
        <f aca="false">Berekening!J93</f>
        <v>147000</v>
      </c>
      <c r="K60" s="29" t="n">
        <f aca="false">Berekening!K93</f>
        <v>225000</v>
      </c>
      <c r="L60" s="29" t="n">
        <f aca="false">Berekening!L93</f>
        <v>225000</v>
      </c>
      <c r="M60" s="29" t="n">
        <f aca="false">Berekening!M93</f>
        <v>225000</v>
      </c>
    </row>
    <row r="61" customFormat="false" ht="15" hidden="false" customHeight="false" outlineLevel="0" collapsed="false">
      <c r="A61" s="9" t="s">
        <v>290</v>
      </c>
      <c r="B61" s="19" t="s">
        <v>101</v>
      </c>
      <c r="C61" s="29" t="n">
        <f aca="false">Berekening!C87+Berekening!C98</f>
        <v>10000</v>
      </c>
      <c r="D61" s="29" t="n">
        <f aca="false">Berekening!D87+Berekening!D98</f>
        <v>10000</v>
      </c>
      <c r="E61" s="29" t="n">
        <f aca="false">Berekening!E87+Berekening!E98</f>
        <v>10000</v>
      </c>
      <c r="F61" s="29" t="n">
        <f aca="false">Berekening!F87+Berekening!F98</f>
        <v>10000</v>
      </c>
      <c r="G61" s="29" t="n">
        <f aca="false">Berekening!G87+Berekening!G98</f>
        <v>22000</v>
      </c>
      <c r="H61" s="29" t="n">
        <f aca="false">Berekening!H87+Berekening!H98</f>
        <v>10000</v>
      </c>
      <c r="I61" s="29" t="n">
        <f aca="false">Berekening!I87+Berekening!I98</f>
        <v>10000</v>
      </c>
      <c r="J61" s="29" t="n">
        <f aca="false">Berekening!J87+Berekening!J98</f>
        <v>10000</v>
      </c>
      <c r="K61" s="29" t="n">
        <f aca="false">Berekening!K87+Berekening!K98</f>
        <v>0</v>
      </c>
      <c r="L61" s="29" t="n">
        <f aca="false">Berekening!L87+Berekening!L98</f>
        <v>10000</v>
      </c>
      <c r="M61" s="29" t="n">
        <f aca="false">Berekening!M87+Berekening!M98</f>
        <v>10000</v>
      </c>
    </row>
    <row r="62" customFormat="false" ht="15" hidden="false" customHeight="false" outlineLevel="0" collapsed="false">
      <c r="A62" s="9" t="s">
        <v>291</v>
      </c>
      <c r="B62" s="19" t="s">
        <v>157</v>
      </c>
      <c r="C62" s="38" t="n">
        <f aca="false">INDEX(T2_Tabel,Berekening!C95,1)+(Berekening!C94-INDEX(T2_Inkomen,Berekening!C95))/(INDEX(T2_Inkomen,Berekening!C95+1)-INDEX(T2_Inkomen,Berekening!C95))*(INDEX(T2_Tabel,Berekening!C95+1,1)-INDEX(T2_Tabel,Berekening!C95,1))</f>
        <v>0.284</v>
      </c>
      <c r="D62" s="38" t="n">
        <f aca="false">INDEX(T2_Tabel,Berekening!D95,1)+(Berekening!D94-INDEX(T2_Inkomen,Berekening!D95))/(INDEX(T2_Inkomen,Berekening!D95+1)-INDEX(T2_Inkomen,Berekening!D95))*(INDEX(T2_Tabel,Berekening!D95+1,1)-INDEX(T2_Tabel,Berekening!D95,1))</f>
        <v>0.284</v>
      </c>
      <c r="E62" s="38" t="n">
        <f aca="false">INDEX(T2_Tabel,Berekening!E95,1)+(Berekening!E94-INDEX(T2_Inkomen,Berekening!E95))/(INDEX(T2_Inkomen,Berekening!E95+1)-INDEX(T2_Inkomen,Berekening!E95))*(INDEX(T2_Tabel,Berekening!E95+1,1)-INDEX(T2_Tabel,Berekening!E95,1))</f>
        <v>0.284</v>
      </c>
      <c r="F62" s="38" t="n">
        <f aca="false">INDEX(T2_Tabel,Berekening!F95,1)+(Berekening!F94-INDEX(T2_Inkomen,Berekening!F95))/(INDEX(T2_Inkomen,Berekening!F95+1)-INDEX(T2_Inkomen,Berekening!F95))*(INDEX(T2_Tabel,Berekening!F95+1,1)-INDEX(T2_Tabel,Berekening!F95,1))</f>
        <v>0.284</v>
      </c>
      <c r="G62" s="38" t="n">
        <f aca="false">INDEX(T2_Tabel,Berekening!G95,1)+(Berekening!G94-INDEX(T2_Inkomen,Berekening!G95))/(INDEX(T2_Inkomen,Berekening!G95+1)-INDEX(T2_Inkomen,Berekening!G95))*(INDEX(T2_Tabel,Berekening!G95+1,1)-INDEX(T2_Tabel,Berekening!G95,1))</f>
        <v>0.255</v>
      </c>
      <c r="H62" s="38" t="n">
        <f aca="false">INDEX(T2_Tabel,Berekening!H95,1)+(Berekening!H94-INDEX(T2_Inkomen,Berekening!H95))/(INDEX(T2_Inkomen,Berekening!H95+1)-INDEX(T2_Inkomen,Berekening!H95))*(INDEX(T2_Tabel,Berekening!H95+1,1)-INDEX(T2_Tabel,Berekening!H95,1))</f>
        <v>0.284</v>
      </c>
      <c r="I62" s="38" t="n">
        <f aca="false">INDEX(T2_Tabel,Berekening!I95,1)+(Berekening!I94-INDEX(T2_Inkomen,Berekening!I95))/(INDEX(T2_Inkomen,Berekening!I95+1)-INDEX(T2_Inkomen,Berekening!I95))*(INDEX(T2_Tabel,Berekening!I95+1,1)-INDEX(T2_Tabel,Berekening!I95,1))</f>
        <v>0.284</v>
      </c>
      <c r="J62" s="38" t="n">
        <f aca="false">INDEX(T2_Tabel,Berekening!J95,1)+(Berekening!J94-INDEX(T2_Inkomen,Berekening!J95))/(INDEX(T2_Inkomen,Berekening!J95+1)-INDEX(T2_Inkomen,Berekening!J95))*(INDEX(T2_Tabel,Berekening!J95+1,1)-INDEX(T2_Tabel,Berekening!J95,1))</f>
        <v>0.284</v>
      </c>
      <c r="K62" s="38" t="n">
        <f aca="false">INDEX(T2_Tabel,Berekening!K95,1)+(Berekening!K94-INDEX(T2_Inkomen,Berekening!K95))/(INDEX(T2_Inkomen,Berekening!K95+1)-INDEX(T2_Inkomen,Berekening!K95))*(INDEX(T2_Tabel,Berekening!K95+1,1)-INDEX(T2_Tabel,Berekening!K95,1))</f>
        <v>0.284</v>
      </c>
      <c r="L62" s="38" t="n">
        <f aca="false">INDEX(T2_Tabel,Berekening!L95,1)+(Berekening!L94-INDEX(T2_Inkomen,Berekening!L95))/(INDEX(T2_Inkomen,Berekening!L95+1)-INDEX(T2_Inkomen,Berekening!L95))*(INDEX(T2_Tabel,Berekening!L95+1,1)-INDEX(T2_Tabel,Berekening!L95,1))</f>
        <v>0.284</v>
      </c>
      <c r="M62" s="38" t="n">
        <f aca="false">INDEX(T2_Tabel,Berekening!M95,1)+(Berekening!M94-INDEX(T2_Inkomen,Berekening!M95))/(INDEX(T2_Inkomen,Berekening!M95+1)-INDEX(T2_Inkomen,Berekening!M95))*(INDEX(T2_Tabel,Berekening!M95+1,1)-INDEX(T2_Tabel,Berekening!M95,1))</f>
        <v>0.284</v>
      </c>
    </row>
    <row r="63" customFormat="false" ht="15" hidden="false" customHeight="false" outlineLevel="0" collapsed="false">
      <c r="A63" s="9" t="s">
        <v>292</v>
      </c>
      <c r="B63" s="19" t="s">
        <v>101</v>
      </c>
      <c r="C63" s="29" t="n">
        <f aca="false">MAX(0,(C62*C60/12-Berekening!C18-Berekening!C44)*Berekening!C11-Berekening!C75+C61)</f>
        <v>364546.501431421</v>
      </c>
      <c r="D63" s="29" t="n">
        <f aca="false">MAX(0,(D62*D60/12-Berekening!D18-Berekening!D44)*Berekening!D11-Berekening!D75+D61)</f>
        <v>393598.05338523</v>
      </c>
      <c r="E63" s="29" t="n">
        <f aca="false">MAX(0,(E62*E60/12-Berekening!E18-Berekening!E44)*Berekening!E11-Berekening!E75+E61)</f>
        <v>241898.958092886</v>
      </c>
      <c r="F63" s="29" t="n">
        <f aca="false">MAX(0,(F62*F60/12-Berekening!F18-Berekening!F44)*Berekening!F11-Berekening!F75+F61)</f>
        <v>352140.055205008</v>
      </c>
      <c r="G63" s="29" t="n">
        <f aca="false">MAX(0,(G62*G60/12-Berekening!G18-Berekening!G44)*Berekening!G11-Berekening!G75+G61)</f>
        <v>268121.45118613</v>
      </c>
      <c r="H63" s="29" t="n">
        <f aca="false">MAX(0,(H62*H60/12-Berekening!H18-Berekening!H44)*Berekening!H11-Berekening!H75+H61)</f>
        <v>665165.651235862</v>
      </c>
      <c r="I63" s="29" t="n">
        <f aca="false">MAX(0,(I62*I60/12-Berekening!I18-Berekening!I44)*Berekening!I11-Berekening!I75+I61)</f>
        <v>917318.408205107</v>
      </c>
      <c r="J63" s="29" t="n">
        <f aca="false">MAX(0,(J62*J60/12-Berekening!J18-Berekening!J44)*Berekening!J11-Berekening!J75+J61)</f>
        <v>45487.3170260096</v>
      </c>
      <c r="K63" s="29" t="n">
        <f aca="false">MAX(0,(K62*K60/12-Berekening!K18-Berekening!K44)*Berekening!K11-Berekening!K75+K61)</f>
        <v>154164.036469905</v>
      </c>
      <c r="L63" s="29" t="n">
        <f aca="false">MAX(0,(L62*L60/12-Berekening!L18-Berekening!L44)*Berekening!L11-Berekening!L75+L61)</f>
        <v>0</v>
      </c>
      <c r="M63" s="29" t="n">
        <f aca="false">MAX(0,(M62*M60/12-Berekening!M18-Berekening!M44)*Berekening!M11-Berekening!M75+M61)</f>
        <v>364546.501431421</v>
      </c>
    </row>
    <row r="64" customFormat="false" ht="15" hidden="false" customHeight="false" outlineLevel="0" collapsed="false">
      <c r="A64" s="9" t="s">
        <v>293</v>
      </c>
      <c r="B64" s="19" t="s">
        <v>101</v>
      </c>
      <c r="C64" s="29" t="n">
        <f aca="false">MAX(0,IF((INDEX(T2_Rente,1)+0.000005)&gt;Berekening!C10,(Berekening!C45-(INDEX(T2_Rente,1)+0.000005)*Berekening!C46)/(360*((INDEX(T2_Rente,1)+0.000005)-Berekening!C10)),IF((INDEX(T2_Rente,1)+0.000005)=Berekening!C10,IF(Berekening!C45-(INDEX(T2_Rente,1)+0.000005)*Berekening!C46&lt;=0,-1000000000000,1000000000000),-1000000000000)))</f>
        <v>0</v>
      </c>
      <c r="D64" s="29" t="n">
        <f aca="false">MAX(0,IF((INDEX(T2_Rente,1)+0.000005)&gt;Berekening!D10,(Berekening!D45-(INDEX(T2_Rente,1)+0.000005)*Berekening!D46)/(360*((INDEX(T2_Rente,1)+0.000005)-Berekening!D10)),IF((INDEX(T2_Rente,1)+0.000005)=Berekening!D10,IF(Berekening!D45-(INDEX(T2_Rente,1)+0.000005)*Berekening!D46&lt;=0,-1000000000000,1000000000000),-1000000000000)))</f>
        <v>0</v>
      </c>
      <c r="E64" s="29" t="n">
        <f aca="false">MAX(0,IF((INDEX(T2_Rente,1)+0.000005)&gt;Berekening!E10,(Berekening!E45-(INDEX(T2_Rente,1)+0.000005)*Berekening!E46)/(360*((INDEX(T2_Rente,1)+0.000005)-Berekening!E10)),IF((INDEX(T2_Rente,1)+0.000005)=Berekening!E10,IF(Berekening!E45-(INDEX(T2_Rente,1)+0.000005)*Berekening!E46&lt;=0,-1000000000000,1000000000000),-1000000000000)))</f>
        <v>0</v>
      </c>
      <c r="F64" s="29" t="n">
        <f aca="false">MAX(0,IF((INDEX(T2_Rente,1)+0.000005)&gt;Berekening!F10,(Berekening!F45-(INDEX(T2_Rente,1)+0.000005)*Berekening!F46)/(360*((INDEX(T2_Rente,1)+0.000005)-Berekening!F10)),IF((INDEX(T2_Rente,1)+0.000005)=Berekening!F10,IF(Berekening!F45-(INDEX(T2_Rente,1)+0.000005)*Berekening!F46&lt;=0,-1000000000000,1000000000000),-1000000000000)))</f>
        <v>0</v>
      </c>
      <c r="G64" s="29" t="n">
        <f aca="false">MAX(0,IF((INDEX(T2_Rente,1)+0.000005)&gt;Berekening!G10,(Berekening!G45-(INDEX(T2_Rente,1)+0.000005)*Berekening!G46)/(360*((INDEX(T2_Rente,1)+0.000005)-Berekening!G10)),IF((INDEX(T2_Rente,1)+0.000005)=Berekening!G10,IF(Berekening!G45-(INDEX(T2_Rente,1)+0.000005)*Berekening!G46&lt;=0,-1000000000000,1000000000000),-1000000000000)))</f>
        <v>0</v>
      </c>
      <c r="H64" s="29" t="n">
        <f aca="false">MAX(0,IF((INDEX(T2_Rente,1)+0.000005)&gt;Berekening!H10,(Berekening!H45-(INDEX(T2_Rente,1)+0.000005)*Berekening!H46)/(360*((INDEX(T2_Rente,1)+0.000005)-Berekening!H10)),IF((INDEX(T2_Rente,1)+0.000005)=Berekening!H10,IF(Berekening!H45-(INDEX(T2_Rente,1)+0.000005)*Berekening!H46&lt;=0,-1000000000000,1000000000000),-1000000000000)))</f>
        <v>0</v>
      </c>
      <c r="I64" s="29" t="n">
        <f aca="false">MAX(0,IF((INDEX(T2_Rente,1)+0.000005)&gt;Berekening!I10,(Berekening!I45-(INDEX(T2_Rente,1)+0.000005)*Berekening!I46)/(360*((INDEX(T2_Rente,1)+0.000005)-Berekening!I10)),IF((INDEX(T2_Rente,1)+0.000005)=Berekening!I10,IF(Berekening!I45-(INDEX(T2_Rente,1)+0.000005)*Berekening!I46&lt;=0,-1000000000000,1000000000000),-1000000000000)))</f>
        <v>0</v>
      </c>
      <c r="J64" s="29" t="n">
        <f aca="false">MAX(0,IF((INDEX(T2_Rente,1)+0.000005)&gt;Berekening!J10,(Berekening!J45-(INDEX(T2_Rente,1)+0.000005)*Berekening!J46)/(360*((INDEX(T2_Rente,1)+0.000005)-Berekening!J10)),IF((INDEX(T2_Rente,1)+0.000005)=Berekening!J10,IF(Berekening!J45-(INDEX(T2_Rente,1)+0.000005)*Berekening!J46&lt;=0,-1000000000000,1000000000000),-1000000000000)))</f>
        <v>0</v>
      </c>
      <c r="K64" s="29" t="n">
        <f aca="false">MAX(0,IF((INDEX(T2_Rente,1)+0.000005)&gt;Berekening!K10,(Berekening!K45-(INDEX(T2_Rente,1)+0.000005)*Berekening!K46)/(360*((INDEX(T2_Rente,1)+0.000005)-Berekening!K10)),IF((INDEX(T2_Rente,1)+0.000005)=Berekening!K10,IF(Berekening!K45-(INDEX(T2_Rente,1)+0.000005)*Berekening!K46&lt;=0,-1000000000000,1000000000000),-1000000000000)))</f>
        <v>0</v>
      </c>
      <c r="L64" s="29" t="n">
        <f aca="false">MAX(0,IF((INDEX(T2_Rente,1)+0.000005)&gt;Berekening!L10,(Berekening!L45-(INDEX(T2_Rente,1)+0.000005)*Berekening!L46)/(360*((INDEX(T2_Rente,1)+0.000005)-Berekening!L10)),IF((INDEX(T2_Rente,1)+0.000005)=Berekening!L10,IF(Berekening!L45-(INDEX(T2_Rente,1)+0.000005)*Berekening!L46&lt;=0,-1000000000000,1000000000000),-1000000000000)))</f>
        <v>0</v>
      </c>
      <c r="M64" s="29" t="n">
        <f aca="false">MAX(0,IF((INDEX(T2_Rente,1)+0.000005)&gt;Berekening!M10,(Berekening!M45-(INDEX(T2_Rente,1)+0.000005)*Berekening!M46)/(360*((INDEX(T2_Rente,1)+0.000005)-Berekening!M10)),IF((INDEX(T2_Rente,1)+0.000005)=Berekening!M10,IF(Berekening!M45-(INDEX(T2_Rente,1)+0.000005)*Berekening!M46&lt;=0,-1000000000000,1000000000000),-1000000000000)))</f>
        <v>0</v>
      </c>
    </row>
    <row r="65" customFormat="false" ht="15" hidden="false" customHeight="false" outlineLevel="0" collapsed="false">
      <c r="A65" s="9" t="s">
        <v>294</v>
      </c>
      <c r="B65" s="19" t="s">
        <v>101</v>
      </c>
      <c r="C65" s="29" t="n">
        <f aca="false">MIN(1000000000000,IF((INDEX(T2_Rente,1)+0.000005)&lt;Berekening!C10,(Berekening!C45-(INDEX(T2_Rente,1)+0.000005)*Berekening!C46)/(360*((INDEX(T2_Rente,1)+0.000005)-Berekening!C10)),1000000000000))</f>
        <v>-278643.491193291</v>
      </c>
      <c r="D65" s="29" t="n">
        <f aca="false">MIN(1000000000000,IF((INDEX(T2_Rente,1)+0.000005)&lt;Berekening!D10,(Berekening!D45-(INDEX(T2_Rente,1)+0.000005)*Berekening!D46)/(360*((INDEX(T2_Rente,1)+0.000005)-Berekening!D10)),1000000000000))</f>
        <v>-334492.744801693</v>
      </c>
      <c r="E65" s="29" t="n">
        <f aca="false">MIN(1000000000000,IF((INDEX(T2_Rente,1)+0.000005)&lt;Berekening!E10,(Berekening!E45-(INDEX(T2_Rente,1)+0.000005)*Berekening!E46)/(360*((INDEX(T2_Rente,1)+0.000005)-Berekening!E10)),1000000000000))</f>
        <v>-628525.353710926</v>
      </c>
      <c r="F65" s="29" t="n">
        <f aca="false">MIN(1000000000000,IF((INDEX(T2_Rente,1)+0.000005)&lt;Berekening!F10,(Berekening!F45-(INDEX(T2_Rente,1)+0.000005)*Berekening!F46)/(360*((INDEX(T2_Rente,1)+0.000005)-Berekening!F10)),1000000000000))</f>
        <v>-253960.112919274</v>
      </c>
      <c r="G65" s="29" t="n">
        <f aca="false">MIN(1000000000000,IF((INDEX(T2_Rente,1)+0.000005)&lt;Berekening!G10,(Berekening!G45-(INDEX(T2_Rente,1)+0.000005)*Berekening!G46)/(360*((INDEX(T2_Rente,1)+0.000005)-Berekening!G10)),1000000000000))</f>
        <v>-0</v>
      </c>
      <c r="H65" s="29" t="n">
        <f aca="false">MIN(1000000000000,IF((INDEX(T2_Rente,1)+0.000005)&lt;Berekening!H10,(Berekening!H45-(INDEX(T2_Rente,1)+0.000005)*Berekening!H46)/(360*((INDEX(T2_Rente,1)+0.000005)-Berekening!H10)),1000000000000))</f>
        <v>-0</v>
      </c>
      <c r="I65" s="29" t="n">
        <f aca="false">MIN(1000000000000,IF((INDEX(T2_Rente,1)+0.000005)&lt;Berekening!I10,(Berekening!I45-(INDEX(T2_Rente,1)+0.000005)*Berekening!I46)/(360*((INDEX(T2_Rente,1)+0.000005)-Berekening!I10)),1000000000000))</f>
        <v>-0</v>
      </c>
      <c r="J65" s="29" t="n">
        <f aca="false">MIN(1000000000000,IF((INDEX(T2_Rente,1)+0.000005)&lt;Berekening!J10,(Berekening!J45-(INDEX(T2_Rente,1)+0.000005)*Berekening!J46)/(360*((INDEX(T2_Rente,1)+0.000005)-Berekening!J10)),1000000000000))</f>
        <v>-278643.491193291</v>
      </c>
      <c r="K65" s="29" t="n">
        <f aca="false">MIN(1000000000000,IF((INDEX(T2_Rente,1)+0.000005)&lt;Berekening!K10,(Berekening!K45-(INDEX(T2_Rente,1)+0.000005)*Berekening!K46)/(360*((INDEX(T2_Rente,1)+0.000005)-Berekening!K10)),1000000000000))</f>
        <v>-520557.558656007</v>
      </c>
      <c r="L65" s="29" t="n">
        <f aca="false">MIN(1000000000000,IF((INDEX(T2_Rente,1)+0.000005)&lt;Berekening!L10,(Berekening!L45-(INDEX(T2_Rente,1)+0.000005)*Berekening!L46)/(360*((INDEX(T2_Rente,1)+0.000005)-Berekening!L10)),1000000000000))</f>
        <v>-278643.491193291</v>
      </c>
      <c r="M65" s="29" t="n">
        <f aca="false">MIN(1000000000000,IF((INDEX(T2_Rente,1)+0.000005)&lt;Berekening!M10,(Berekening!M45-(INDEX(T2_Rente,1)+0.000005)*Berekening!M46)/(360*((INDEX(T2_Rente,1)+0.000005)-Berekening!M10)),1000000000000))</f>
        <v>-278643.491193291</v>
      </c>
    </row>
    <row r="66" customFormat="false" ht="15" hidden="false" customHeight="false" outlineLevel="0" collapsed="false">
      <c r="A66" s="9" t="s">
        <v>295</v>
      </c>
      <c r="B66" s="19" t="s">
        <v>101</v>
      </c>
      <c r="C66" s="29" t="n">
        <f aca="false">IF(C64&gt;C65,-1,IF(C63&lt;C64-0.000000001,-1,IF(C63&gt;C65,MAX(C64,C65-1),C63)))</f>
        <v>-1</v>
      </c>
      <c r="D66" s="29" t="n">
        <f aca="false">IF(D64&gt;D65,-1,IF(D63&lt;D64-0.000000001,-1,IF(D63&gt;D65,MAX(D64,D65-1),D63)))</f>
        <v>-1</v>
      </c>
      <c r="E66" s="29" t="n">
        <f aca="false">IF(E64&gt;E65,-1,IF(E63&lt;E64-0.000000001,-1,IF(E63&gt;E65,MAX(E64,E65-1),E63)))</f>
        <v>-1</v>
      </c>
      <c r="F66" s="29" t="n">
        <f aca="false">IF(F64&gt;F65,-1,IF(F63&lt;F64-0.000000001,-1,IF(F63&gt;F65,MAX(F64,F65-1),F63)))</f>
        <v>-1</v>
      </c>
      <c r="G66" s="29" t="n">
        <f aca="false">IF(G64&gt;G65,-1,IF(G63&lt;G64-0.000000001,-1,IF(G63&gt;G65,MAX(G64,G65-1),G63)))</f>
        <v>0</v>
      </c>
      <c r="H66" s="29" t="n">
        <f aca="false">IF(H64&gt;H65,-1,IF(H63&lt;H64-0.000000001,-1,IF(H63&gt;H65,MAX(H64,H65-1),H63)))</f>
        <v>0</v>
      </c>
      <c r="I66" s="29" t="n">
        <f aca="false">IF(I64&gt;I65,-1,IF(I63&lt;I64-0.000000001,-1,IF(I63&gt;I65,MAX(I64,I65-1),I63)))</f>
        <v>0</v>
      </c>
      <c r="J66" s="29" t="n">
        <f aca="false">IF(J64&gt;J65,-1,IF(J63&lt;J64-0.000000001,-1,IF(J63&gt;J65,MAX(J64,J65-1),J63)))</f>
        <v>-1</v>
      </c>
      <c r="K66" s="29" t="n">
        <f aca="false">IF(K64&gt;K65,-1,IF(K63&lt;K64-0.000000001,-1,IF(K63&gt;K65,MAX(K64,K65-1),K63)))</f>
        <v>-1</v>
      </c>
      <c r="L66" s="29" t="n">
        <f aca="false">IF(L64&gt;L65,-1,IF(L63&lt;L64-0.000000001,-1,IF(L63&gt;L65,MAX(L64,L65-1),L63)))</f>
        <v>-1</v>
      </c>
      <c r="M66" s="29" t="n">
        <f aca="false">IF(M64&gt;M65,-1,IF(M63&lt;M64-0.000000001,-1,IF(M63&gt;M65,MAX(M64,M65-1),M63)))</f>
        <v>-1</v>
      </c>
    </row>
    <row r="67" customFormat="false" ht="15" hidden="false" customHeight="false" outlineLevel="0" collapsed="false">
      <c r="A67" s="9" t="s">
        <v>296</v>
      </c>
      <c r="B67" s="19" t="s">
        <v>157</v>
      </c>
      <c r="C67" s="38" t="n">
        <f aca="false">INDEX(T2_Tabel,Berekening!C95,2)+(Berekening!C94-INDEX(T2_Inkomen,Berekening!C95))/(INDEX(T2_Inkomen,Berekening!C95+1)-INDEX(T2_Inkomen,Berekening!C95))*(INDEX(T2_Tabel,Berekening!C95+1,2)-INDEX(T2_Tabel,Berekening!C95,2))</f>
        <v>0.297666666666667</v>
      </c>
      <c r="D67" s="38" t="n">
        <f aca="false">INDEX(T2_Tabel,Berekening!D95,2)+(Berekening!D94-INDEX(T2_Inkomen,Berekening!D95))/(INDEX(T2_Inkomen,Berekening!D95+1)-INDEX(T2_Inkomen,Berekening!D95))*(INDEX(T2_Tabel,Berekening!D95+1,2)-INDEX(T2_Tabel,Berekening!D95,2))</f>
        <v>0.297666666666667</v>
      </c>
      <c r="E67" s="38" t="n">
        <f aca="false">INDEX(T2_Tabel,Berekening!E95,2)+(Berekening!E94-INDEX(T2_Inkomen,Berekening!E95))/(INDEX(T2_Inkomen,Berekening!E95+1)-INDEX(T2_Inkomen,Berekening!E95))*(INDEX(T2_Tabel,Berekening!E95+1,2)-INDEX(T2_Tabel,Berekening!E95,2))</f>
        <v>0.297666666666667</v>
      </c>
      <c r="F67" s="38" t="n">
        <f aca="false">INDEX(T2_Tabel,Berekening!F95,2)+(Berekening!F94-INDEX(T2_Inkomen,Berekening!F95))/(INDEX(T2_Inkomen,Berekening!F95+1)-INDEX(T2_Inkomen,Berekening!F95))*(INDEX(T2_Tabel,Berekening!F95+1,2)-INDEX(T2_Tabel,Berekening!F95,2))</f>
        <v>0.297666666666667</v>
      </c>
      <c r="G67" s="38" t="n">
        <f aca="false">INDEX(T2_Tabel,Berekening!G95,2)+(Berekening!G94-INDEX(T2_Inkomen,Berekening!G95))/(INDEX(T2_Inkomen,Berekening!G95+1)-INDEX(T2_Inkomen,Berekening!G95))*(INDEX(T2_Tabel,Berekening!G95+1,2)-INDEX(T2_Tabel,Berekening!G95,2))</f>
        <v>0.269666666666667</v>
      </c>
      <c r="H67" s="38" t="n">
        <f aca="false">INDEX(T2_Tabel,Berekening!H95,2)+(Berekening!H94-INDEX(T2_Inkomen,Berekening!H95))/(INDEX(T2_Inkomen,Berekening!H95+1)-INDEX(T2_Inkomen,Berekening!H95))*(INDEX(T2_Tabel,Berekening!H95+1,2)-INDEX(T2_Tabel,Berekening!H95,2))</f>
        <v>0.297666666666667</v>
      </c>
      <c r="I67" s="38" t="n">
        <f aca="false">INDEX(T2_Tabel,Berekening!I95,2)+(Berekening!I94-INDEX(T2_Inkomen,Berekening!I95))/(INDEX(T2_Inkomen,Berekening!I95+1)-INDEX(T2_Inkomen,Berekening!I95))*(INDEX(T2_Tabel,Berekening!I95+1,2)-INDEX(T2_Tabel,Berekening!I95,2))</f>
        <v>0.297666666666667</v>
      </c>
      <c r="J67" s="38" t="n">
        <f aca="false">INDEX(T2_Tabel,Berekening!J95,2)+(Berekening!J94-INDEX(T2_Inkomen,Berekening!J95))/(INDEX(T2_Inkomen,Berekening!J95+1)-INDEX(T2_Inkomen,Berekening!J95))*(INDEX(T2_Tabel,Berekening!J95+1,2)-INDEX(T2_Tabel,Berekening!J95,2))</f>
        <v>0.297666666666667</v>
      </c>
      <c r="K67" s="38" t="n">
        <f aca="false">INDEX(T2_Tabel,Berekening!K95,2)+(Berekening!K94-INDEX(T2_Inkomen,Berekening!K95))/(INDEX(T2_Inkomen,Berekening!K95+1)-INDEX(T2_Inkomen,Berekening!K95))*(INDEX(T2_Tabel,Berekening!K95+1,2)-INDEX(T2_Tabel,Berekening!K95,2))</f>
        <v>0.297666666666667</v>
      </c>
      <c r="L67" s="38" t="n">
        <f aca="false">INDEX(T2_Tabel,Berekening!L95,2)+(Berekening!L94-INDEX(T2_Inkomen,Berekening!L95))/(INDEX(T2_Inkomen,Berekening!L95+1)-INDEX(T2_Inkomen,Berekening!L95))*(INDEX(T2_Tabel,Berekening!L95+1,2)-INDEX(T2_Tabel,Berekening!L95,2))</f>
        <v>0.297666666666667</v>
      </c>
      <c r="M67" s="38" t="n">
        <f aca="false">INDEX(T2_Tabel,Berekening!M95,2)+(Berekening!M94-INDEX(T2_Inkomen,Berekening!M95))/(INDEX(T2_Inkomen,Berekening!M95+1)-INDEX(T2_Inkomen,Berekening!M95))*(INDEX(T2_Tabel,Berekening!M95+1,2)-INDEX(T2_Tabel,Berekening!M95,2))</f>
        <v>0.297666666666667</v>
      </c>
    </row>
    <row r="68" customFormat="false" ht="15" hidden="false" customHeight="false" outlineLevel="0" collapsed="false">
      <c r="A68" s="9" t="s">
        <v>297</v>
      </c>
      <c r="B68" s="19" t="s">
        <v>101</v>
      </c>
      <c r="C68" s="29" t="n">
        <f aca="false">MAX(0,(C67*C60/12-Berekening!C18-Berekening!C44)*Berekening!C11-Berekening!C75+C61)</f>
        <v>414012.087209026</v>
      </c>
      <c r="D68" s="29" t="n">
        <f aca="false">MAX(0,(D67*D60/12-Berekening!D18-Berekening!D44)*Berekening!D11-Berekening!D75+D61)</f>
        <v>443063.639162835</v>
      </c>
      <c r="E68" s="29" t="n">
        <f aca="false">MAX(0,(E67*E60/12-Berekening!E18-Berekening!E44)*Berekening!E11-Berekening!E75+E61)</f>
        <v>291364.543870491</v>
      </c>
      <c r="F68" s="29" t="n">
        <f aca="false">MAX(0,(F67*F60/12-Berekening!F18-Berekening!F44)*Berekening!F11-Berekening!F75+F61)</f>
        <v>399874.719573065</v>
      </c>
      <c r="G68" s="29" t="n">
        <f aca="false">MAX(0,(G67*G60/12-Berekening!G18-Berekening!G44)*Berekening!G11-Berekening!G75+G61)</f>
        <v>282277.456221672</v>
      </c>
      <c r="H68" s="29" t="n">
        <f aca="false">MAX(0,(H67*H60/12-Berekening!H18-Berekening!H44)*Berekening!H11-Berekening!H75+H61)</f>
        <v>698142.708420932</v>
      </c>
      <c r="I68" s="29" t="n">
        <f aca="false">MAX(0,(I67*I60/12-Berekening!I18-Berekening!I44)*Berekening!I11-Berekening!I75+I61)</f>
        <v>966783.993982711</v>
      </c>
      <c r="J68" s="29" t="n">
        <f aca="false">MAX(0,(J67*J60/12-Berekening!J18-Berekening!J44)*Berekening!J11-Berekening!J75+J61)</f>
        <v>77804.8330673778</v>
      </c>
      <c r="K68" s="29" t="n">
        <f aca="false">MAX(0,(K67*K60/12-Berekening!K18-Berekening!K44)*Berekening!K11-Berekening!K75+K61)</f>
        <v>203629.62224751</v>
      </c>
      <c r="L68" s="29" t="n">
        <f aca="false">MAX(0,(L67*L60/12-Berekening!L18-Berekening!L44)*Berekening!L11-Berekening!L75+L61)</f>
        <v>0</v>
      </c>
      <c r="M68" s="29" t="n">
        <f aca="false">MAX(0,(M67*M60/12-Berekening!M18-Berekening!M44)*Berekening!M11-Berekening!M75+M61)</f>
        <v>414012.087209026</v>
      </c>
    </row>
    <row r="69" customFormat="false" ht="15" hidden="false" customHeight="false" outlineLevel="0" collapsed="false">
      <c r="A69" s="9" t="s">
        <v>298</v>
      </c>
      <c r="B69" s="19" t="s">
        <v>101</v>
      </c>
      <c r="C69" s="29" t="n">
        <f aca="false">MAX(0,IF((INDEX(T2_Rente,2)+0.000005)&gt;Berekening!C10,(Berekening!C45-(INDEX(T2_Rente,2)+0.000005)*Berekening!C46)/(360*((INDEX(T2_Rente,2)+0.000005)-Berekening!C10)),IF((INDEX(T2_Rente,2)+0.000005)=Berekening!C10,IF(Berekening!C45-(INDEX(T2_Rente,2)+0.000005)*Berekening!C46&lt;=0,-1000000000000,1000000000000),-1000000000000)),IF((INDEX(T2_Rente,2)-0.005+0.000005)&lt;Berekening!C10,(Berekening!C45-(INDEX(T2_Rente,2)-0.005+0.000005)*Berekening!C46)/(360*((INDEX(T2_Rente,2)-0.005+0.000005)-Berekening!C10)),IF((INDEX(T2_Rente,2)-0.005+0.000005)=Berekening!C10,IF(Berekening!C45-(INDEX(T2_Rente,2)-0.005+0.000005)*Berekening!C46&gt;0,-1000000000000,1000000000000),-1000000000000)))</f>
        <v>0</v>
      </c>
      <c r="D69" s="29" t="n">
        <f aca="false">MAX(0,IF((INDEX(T2_Rente,2)+0.000005)&gt;Berekening!D10,(Berekening!D45-(INDEX(T2_Rente,2)+0.000005)*Berekening!D46)/(360*((INDEX(T2_Rente,2)+0.000005)-Berekening!D10)),IF((INDEX(T2_Rente,2)+0.000005)=Berekening!D10,IF(Berekening!D45-(INDEX(T2_Rente,2)+0.000005)*Berekening!D46&lt;=0,-1000000000000,1000000000000),-1000000000000)),IF((INDEX(T2_Rente,2)-0.005+0.000005)&lt;Berekening!D10,(Berekening!D45-(INDEX(T2_Rente,2)-0.005+0.000005)*Berekening!D46)/(360*((INDEX(T2_Rente,2)-0.005+0.000005)-Berekening!D10)),IF((INDEX(T2_Rente,2)-0.005+0.000005)=Berekening!D10,IF(Berekening!D45-(INDEX(T2_Rente,2)-0.005+0.000005)*Berekening!D46&gt;0,-1000000000000,1000000000000),-1000000000000)))</f>
        <v>0</v>
      </c>
      <c r="E69" s="29" t="n">
        <f aca="false">MAX(0,IF((INDEX(T2_Rente,2)+0.000005)&gt;Berekening!E10,(Berekening!E45-(INDEX(T2_Rente,2)+0.000005)*Berekening!E46)/(360*((INDEX(T2_Rente,2)+0.000005)-Berekening!E10)),IF((INDEX(T2_Rente,2)+0.000005)=Berekening!E10,IF(Berekening!E45-(INDEX(T2_Rente,2)+0.000005)*Berekening!E46&lt;=0,-1000000000000,1000000000000),-1000000000000)),IF((INDEX(T2_Rente,2)-0.005+0.000005)&lt;Berekening!E10,(Berekening!E45-(INDEX(T2_Rente,2)-0.005+0.000005)*Berekening!E46)/(360*((INDEX(T2_Rente,2)-0.005+0.000005)-Berekening!E10)),IF((INDEX(T2_Rente,2)-0.005+0.000005)=Berekening!E10,IF(Berekening!E45-(INDEX(T2_Rente,2)-0.005+0.000005)*Berekening!E46&gt;0,-1000000000000,1000000000000),-1000000000000)))</f>
        <v>0</v>
      </c>
      <c r="F69" s="29" t="n">
        <f aca="false">MAX(0,IF((INDEX(T2_Rente,2)+0.000005)&gt;Berekening!F10,(Berekening!F45-(INDEX(T2_Rente,2)+0.000005)*Berekening!F46)/(360*((INDEX(T2_Rente,2)+0.000005)-Berekening!F10)),IF((INDEX(T2_Rente,2)+0.000005)=Berekening!F10,IF(Berekening!F45-(INDEX(T2_Rente,2)+0.000005)*Berekening!F46&lt;=0,-1000000000000,1000000000000),-1000000000000)),IF((INDEX(T2_Rente,2)-0.005+0.000005)&lt;Berekening!F10,(Berekening!F45-(INDEX(T2_Rente,2)-0.005+0.000005)*Berekening!F46)/(360*((INDEX(T2_Rente,2)-0.005+0.000005)-Berekening!F10)),IF((INDEX(T2_Rente,2)-0.005+0.000005)=Berekening!F10,IF(Berekening!F45-(INDEX(T2_Rente,2)-0.005+0.000005)*Berekening!F46&gt;0,-1000000000000,1000000000000),-1000000000000)))</f>
        <v>0</v>
      </c>
      <c r="G69" s="29" t="n">
        <f aca="false">MAX(0,IF((INDEX(T2_Rente,2)+0.000005)&gt;Berekening!G10,(Berekening!G45-(INDEX(T2_Rente,2)+0.000005)*Berekening!G46)/(360*((INDEX(T2_Rente,2)+0.000005)-Berekening!G10)),IF((INDEX(T2_Rente,2)+0.000005)=Berekening!G10,IF(Berekening!G45-(INDEX(T2_Rente,2)+0.000005)*Berekening!G46&lt;=0,-1000000000000,1000000000000),-1000000000000)),IF((INDEX(T2_Rente,2)-0.005+0.000005)&lt;Berekening!G10,(Berekening!G45-(INDEX(T2_Rente,2)-0.005+0.000005)*Berekening!G46)/(360*((INDEX(T2_Rente,2)-0.005+0.000005)-Berekening!G10)),IF((INDEX(T2_Rente,2)-0.005+0.000005)=Berekening!G10,IF(Berekening!G45-(INDEX(T2_Rente,2)-0.005+0.000005)*Berekening!G46&gt;0,-1000000000000,1000000000000),-1000000000000)))</f>
        <v>-0</v>
      </c>
      <c r="H69" s="29" t="n">
        <f aca="false">MAX(0,IF((INDEX(T2_Rente,2)+0.000005)&gt;Berekening!H10,(Berekening!H45-(INDEX(T2_Rente,2)+0.000005)*Berekening!H46)/(360*((INDEX(T2_Rente,2)+0.000005)-Berekening!H10)),IF((INDEX(T2_Rente,2)+0.000005)=Berekening!H10,IF(Berekening!H45-(INDEX(T2_Rente,2)+0.000005)*Berekening!H46&lt;=0,-1000000000000,1000000000000),-1000000000000)),IF((INDEX(T2_Rente,2)-0.005+0.000005)&lt;Berekening!H10,(Berekening!H45-(INDEX(T2_Rente,2)-0.005+0.000005)*Berekening!H46)/(360*((INDEX(T2_Rente,2)-0.005+0.000005)-Berekening!H10)),IF((INDEX(T2_Rente,2)-0.005+0.000005)=Berekening!H10,IF(Berekening!H45-(INDEX(T2_Rente,2)-0.005+0.000005)*Berekening!H46&gt;0,-1000000000000,1000000000000),-1000000000000)))</f>
        <v>-0</v>
      </c>
      <c r="I69" s="29" t="n">
        <f aca="false">MAX(0,IF((INDEX(T2_Rente,2)+0.000005)&gt;Berekening!I10,(Berekening!I45-(INDEX(T2_Rente,2)+0.000005)*Berekening!I46)/(360*((INDEX(T2_Rente,2)+0.000005)-Berekening!I10)),IF((INDEX(T2_Rente,2)+0.000005)=Berekening!I10,IF(Berekening!I45-(INDEX(T2_Rente,2)+0.000005)*Berekening!I46&lt;=0,-1000000000000,1000000000000),-1000000000000)),IF((INDEX(T2_Rente,2)-0.005+0.000005)&lt;Berekening!I10,(Berekening!I45-(INDEX(T2_Rente,2)-0.005+0.000005)*Berekening!I46)/(360*((INDEX(T2_Rente,2)-0.005+0.000005)-Berekening!I10)),IF((INDEX(T2_Rente,2)-0.005+0.000005)=Berekening!I10,IF(Berekening!I45-(INDEX(T2_Rente,2)-0.005+0.000005)*Berekening!I46&gt;0,-1000000000000,1000000000000),-1000000000000)))</f>
        <v>-0</v>
      </c>
      <c r="J69" s="29" t="n">
        <f aca="false">MAX(0,IF((INDEX(T2_Rente,2)+0.000005)&gt;Berekening!J10,(Berekening!J45-(INDEX(T2_Rente,2)+0.000005)*Berekening!J46)/(360*((INDEX(T2_Rente,2)+0.000005)-Berekening!J10)),IF((INDEX(T2_Rente,2)+0.000005)=Berekening!J10,IF(Berekening!J45-(INDEX(T2_Rente,2)+0.000005)*Berekening!J46&lt;=0,-1000000000000,1000000000000),-1000000000000)),IF((INDEX(T2_Rente,2)-0.005+0.000005)&lt;Berekening!J10,(Berekening!J45-(INDEX(T2_Rente,2)-0.005+0.000005)*Berekening!J46)/(360*((INDEX(T2_Rente,2)-0.005+0.000005)-Berekening!J10)),IF((INDEX(T2_Rente,2)-0.005+0.000005)=Berekening!J10,IF(Berekening!J45-(INDEX(T2_Rente,2)-0.005+0.000005)*Berekening!J46&gt;0,-1000000000000,1000000000000),-1000000000000)))</f>
        <v>0</v>
      </c>
      <c r="K69" s="29" t="n">
        <f aca="false">MAX(0,IF((INDEX(T2_Rente,2)+0.000005)&gt;Berekening!K10,(Berekening!K45-(INDEX(T2_Rente,2)+0.000005)*Berekening!K46)/(360*((INDEX(T2_Rente,2)+0.000005)-Berekening!K10)),IF((INDEX(T2_Rente,2)+0.000005)=Berekening!K10,IF(Berekening!K45-(INDEX(T2_Rente,2)+0.000005)*Berekening!K46&lt;=0,-1000000000000,1000000000000),-1000000000000)),IF((INDEX(T2_Rente,2)-0.005+0.000005)&lt;Berekening!K10,(Berekening!K45-(INDEX(T2_Rente,2)-0.005+0.000005)*Berekening!K46)/(360*((INDEX(T2_Rente,2)-0.005+0.000005)-Berekening!K10)),IF((INDEX(T2_Rente,2)-0.005+0.000005)=Berekening!K10,IF(Berekening!K45-(INDEX(T2_Rente,2)-0.005+0.000005)*Berekening!K46&gt;0,-1000000000000,1000000000000),-1000000000000)))</f>
        <v>0</v>
      </c>
      <c r="L69" s="29" t="n">
        <f aca="false">MAX(0,IF((INDEX(T2_Rente,2)+0.000005)&gt;Berekening!L10,(Berekening!L45-(INDEX(T2_Rente,2)+0.000005)*Berekening!L46)/(360*((INDEX(T2_Rente,2)+0.000005)-Berekening!L10)),IF((INDEX(T2_Rente,2)+0.000005)=Berekening!L10,IF(Berekening!L45-(INDEX(T2_Rente,2)+0.000005)*Berekening!L46&lt;=0,-1000000000000,1000000000000),-1000000000000)),IF((INDEX(T2_Rente,2)-0.005+0.000005)&lt;Berekening!L10,(Berekening!L45-(INDEX(T2_Rente,2)-0.005+0.000005)*Berekening!L46)/(360*((INDEX(T2_Rente,2)-0.005+0.000005)-Berekening!L10)),IF((INDEX(T2_Rente,2)-0.005+0.000005)=Berekening!L10,IF(Berekening!L45-(INDEX(T2_Rente,2)-0.005+0.000005)*Berekening!L46&gt;0,-1000000000000,1000000000000),-1000000000000)))</f>
        <v>0</v>
      </c>
      <c r="M69" s="29" t="n">
        <f aca="false">MAX(0,IF((INDEX(T2_Rente,2)+0.000005)&gt;Berekening!M10,(Berekening!M45-(INDEX(T2_Rente,2)+0.000005)*Berekening!M46)/(360*((INDEX(T2_Rente,2)+0.000005)-Berekening!M10)),IF((INDEX(T2_Rente,2)+0.000005)=Berekening!M10,IF(Berekening!M45-(INDEX(T2_Rente,2)+0.000005)*Berekening!M46&lt;=0,-1000000000000,1000000000000),-1000000000000)),IF((INDEX(T2_Rente,2)-0.005+0.000005)&lt;Berekening!M10,(Berekening!M45-(INDEX(T2_Rente,2)-0.005+0.000005)*Berekening!M46)/(360*((INDEX(T2_Rente,2)-0.005+0.000005)-Berekening!M10)),IF((INDEX(T2_Rente,2)-0.005+0.000005)=Berekening!M10,IF(Berekening!M45-(INDEX(T2_Rente,2)-0.005+0.000005)*Berekening!M46&gt;0,-1000000000000,1000000000000),-1000000000000)))</f>
        <v>0</v>
      </c>
    </row>
    <row r="70" customFormat="false" ht="15" hidden="false" customHeight="false" outlineLevel="0" collapsed="false">
      <c r="A70" s="9" t="s">
        <v>299</v>
      </c>
      <c r="B70" s="19" t="s">
        <v>101</v>
      </c>
      <c r="C70" s="29" t="n">
        <f aca="false">MIN(1000000000000,IF((INDEX(T2_Rente,2)+0.000005)&lt;Berekening!C10,(Berekening!C45-(INDEX(T2_Rente,2)+0.000005)*Berekening!C46)/(360*((INDEX(T2_Rente,2)+0.000005)-Berekening!C10)),1000000000000),IF((INDEX(T2_Rente,2)-0.005+0.000005)&gt;Berekening!C10,(Berekening!C45-(INDEX(T2_Rente,2)-0.005+0.000005)*Berekening!C46)/(360*((INDEX(T2_Rente,2)-0.005+0.000005)-Berekening!C10)),1000000000000))</f>
        <v>-223948.469787817</v>
      </c>
      <c r="D70" s="29" t="n">
        <f aca="false">MIN(1000000000000,IF((INDEX(T2_Rente,2)+0.000005)&lt;Berekening!D10,(Berekening!D45-(INDEX(T2_Rente,2)+0.000005)*Berekening!D46)/(360*((INDEX(T2_Rente,2)+0.000005)-Berekening!D10)),1000000000000),IF((INDEX(T2_Rente,2)-0.005+0.000005)&gt;Berekening!D10,(Berekening!D45-(INDEX(T2_Rente,2)-0.005+0.000005)*Berekening!D46)/(360*((INDEX(T2_Rente,2)-0.005+0.000005)-Berekening!D10)),1000000000000))</f>
        <v>-280717.477057074</v>
      </c>
      <c r="E70" s="29" t="n">
        <f aca="false">MIN(1000000000000,IF((INDEX(T2_Rente,2)+0.000005)&lt;Berekening!E10,(Berekening!E45-(INDEX(T2_Rente,2)+0.000005)*Berekening!E46)/(360*((INDEX(T2_Rente,2)+0.000005)-Berekening!E10)),1000000000000),IF((INDEX(T2_Rente,2)-0.005+0.000005)&gt;Berekening!E10,(Berekening!E45-(INDEX(T2_Rente,2)-0.005+0.000005)*Berekening!E46)/(360*((INDEX(T2_Rente,2)-0.005+0.000005)-Berekening!E10)),1000000000000))</f>
        <v>-638876.226062217</v>
      </c>
      <c r="F70" s="29" t="n">
        <f aca="false">MIN(1000000000000,IF((INDEX(T2_Rente,2)+0.000005)&lt;Berekening!F10,(Berekening!F45-(INDEX(T2_Rente,2)+0.000005)*Berekening!F46)/(360*((INDEX(T2_Rente,2)+0.000005)-Berekening!F10)),1000000000000),IF((INDEX(T2_Rente,2)-0.005+0.000005)&gt;Berekening!F10,(Berekening!F45-(INDEX(T2_Rente,2)-0.005+0.000005)*Berekening!F46)/(360*((INDEX(T2_Rente,2)-0.005+0.000005)-Berekening!F10)),1000000000000))</f>
        <v>-200803.270376507</v>
      </c>
      <c r="G70" s="29" t="n">
        <f aca="false">MIN(1000000000000,IF((INDEX(T2_Rente,2)+0.000005)&lt;Berekening!G10,(Berekening!G45-(INDEX(T2_Rente,2)+0.000005)*Berekening!G46)/(360*((INDEX(T2_Rente,2)+0.000005)-Berekening!G10)),1000000000000),IF((INDEX(T2_Rente,2)-0.005+0.000005)&gt;Berekening!G10,(Berekening!G45-(INDEX(T2_Rente,2)-0.005+0.000005)*Berekening!G46)/(360*((INDEX(T2_Rente,2)-0.005+0.000005)-Berekening!G10)),1000000000000))</f>
        <v>-0</v>
      </c>
      <c r="H70" s="29" t="n">
        <f aca="false">MIN(1000000000000,IF((INDEX(T2_Rente,2)+0.000005)&lt;Berekening!H10,(Berekening!H45-(INDEX(T2_Rente,2)+0.000005)*Berekening!H46)/(360*((INDEX(T2_Rente,2)+0.000005)-Berekening!H10)),1000000000000),IF((INDEX(T2_Rente,2)-0.005+0.000005)&gt;Berekening!H10,(Berekening!H45-(INDEX(T2_Rente,2)-0.005+0.000005)*Berekening!H46)/(360*((INDEX(T2_Rente,2)-0.005+0.000005)-Berekening!H10)),1000000000000))</f>
        <v>-0</v>
      </c>
      <c r="I70" s="29" t="n">
        <f aca="false">MIN(1000000000000,IF((INDEX(T2_Rente,2)+0.000005)&lt;Berekening!I10,(Berekening!I45-(INDEX(T2_Rente,2)+0.000005)*Berekening!I46)/(360*((INDEX(T2_Rente,2)+0.000005)-Berekening!I10)),1000000000000),IF((INDEX(T2_Rente,2)-0.005+0.000005)&gt;Berekening!I10,(Berekening!I45-(INDEX(T2_Rente,2)-0.005+0.000005)*Berekening!I46)/(360*((INDEX(T2_Rente,2)-0.005+0.000005)-Berekening!I10)),1000000000000))</f>
        <v>-0</v>
      </c>
      <c r="J70" s="29" t="n">
        <f aca="false">MIN(1000000000000,IF((INDEX(T2_Rente,2)+0.000005)&lt;Berekening!J10,(Berekening!J45-(INDEX(T2_Rente,2)+0.000005)*Berekening!J46)/(360*((INDEX(T2_Rente,2)+0.000005)-Berekening!J10)),1000000000000),IF((INDEX(T2_Rente,2)-0.005+0.000005)&gt;Berekening!J10,(Berekening!J45-(INDEX(T2_Rente,2)-0.005+0.000005)*Berekening!J46)/(360*((INDEX(T2_Rente,2)-0.005+0.000005)-Berekening!J10)),1000000000000))</f>
        <v>-223948.469787817</v>
      </c>
      <c r="K70" s="29" t="n">
        <f aca="false">MIN(1000000000000,IF((INDEX(T2_Rente,2)+0.000005)&lt;Berekening!K10,(Berekening!K45-(INDEX(T2_Rente,2)+0.000005)*Berekening!K46)/(360*((INDEX(T2_Rente,2)+0.000005)-Berekening!K10)),1000000000000),IF((INDEX(T2_Rente,2)-0.005+0.000005)&gt;Berekening!K10,(Berekening!K45-(INDEX(T2_Rente,2)-0.005+0.000005)*Berekening!K46)/(360*((INDEX(T2_Rente,2)-0.005+0.000005)-Berekening!K10)),1000000000000))</f>
        <v>-529130.362934044</v>
      </c>
      <c r="L70" s="29" t="n">
        <f aca="false">MIN(1000000000000,IF((INDEX(T2_Rente,2)+0.000005)&lt;Berekening!L10,(Berekening!L45-(INDEX(T2_Rente,2)+0.000005)*Berekening!L46)/(360*((INDEX(T2_Rente,2)+0.000005)-Berekening!L10)),1000000000000),IF((INDEX(T2_Rente,2)-0.005+0.000005)&gt;Berekening!L10,(Berekening!L45-(INDEX(T2_Rente,2)-0.005+0.000005)*Berekening!L46)/(360*((INDEX(T2_Rente,2)-0.005+0.000005)-Berekening!L10)),1000000000000))</f>
        <v>-223948.469787817</v>
      </c>
      <c r="M70" s="29" t="n">
        <f aca="false">MIN(1000000000000,IF((INDEX(T2_Rente,2)+0.000005)&lt;Berekening!M10,(Berekening!M45-(INDEX(T2_Rente,2)+0.000005)*Berekening!M46)/(360*((INDEX(T2_Rente,2)+0.000005)-Berekening!M10)),1000000000000),IF((INDEX(T2_Rente,2)-0.005+0.000005)&gt;Berekening!M10,(Berekening!M45-(INDEX(T2_Rente,2)-0.005+0.000005)*Berekening!M46)/(360*((INDEX(T2_Rente,2)-0.005+0.000005)-Berekening!M10)),1000000000000))</f>
        <v>-223948.469787817</v>
      </c>
    </row>
    <row r="71" customFormat="false" ht="15" hidden="false" customHeight="false" outlineLevel="0" collapsed="false">
      <c r="A71" s="9" t="s">
        <v>300</v>
      </c>
      <c r="B71" s="19" t="s">
        <v>101</v>
      </c>
      <c r="C71" s="29" t="n">
        <f aca="false">IF(C69&gt;C70,-1,IF(C68&lt;C69-0.000000001,-1,IF(C68&gt;C70,MAX(C69,C70-1),C68)))</f>
        <v>-1</v>
      </c>
      <c r="D71" s="29" t="n">
        <f aca="false">IF(D69&gt;D70,-1,IF(D68&lt;D69-0.000000001,-1,IF(D68&gt;D70,MAX(D69,D70-1),D68)))</f>
        <v>-1</v>
      </c>
      <c r="E71" s="29" t="n">
        <f aca="false">IF(E69&gt;E70,-1,IF(E68&lt;E69-0.000000001,-1,IF(E68&gt;E70,MAX(E69,E70-1),E68)))</f>
        <v>-1</v>
      </c>
      <c r="F71" s="29" t="n">
        <f aca="false">IF(F69&gt;F70,-1,IF(F68&lt;F69-0.000000001,-1,IF(F68&gt;F70,MAX(F69,F70-1),F68)))</f>
        <v>-1</v>
      </c>
      <c r="G71" s="29" t="n">
        <f aca="false">IF(G69&gt;G70,-1,IF(G68&lt;G69-0.000000001,-1,IF(G68&gt;G70,MAX(G69,G70-1),G68)))</f>
        <v>-0</v>
      </c>
      <c r="H71" s="29" t="n">
        <f aca="false">IF(H69&gt;H70,-1,IF(H68&lt;H69-0.000000001,-1,IF(H68&gt;H70,MAX(H69,H70-1),H68)))</f>
        <v>-0</v>
      </c>
      <c r="I71" s="29" t="n">
        <f aca="false">IF(I69&gt;I70,-1,IF(I68&lt;I69-0.000000001,-1,IF(I68&gt;I70,MAX(I69,I70-1),I68)))</f>
        <v>-0</v>
      </c>
      <c r="J71" s="29" t="n">
        <f aca="false">IF(J69&gt;J70,-1,IF(J68&lt;J69-0.000000001,-1,IF(J68&gt;J70,MAX(J69,J70-1),J68)))</f>
        <v>-1</v>
      </c>
      <c r="K71" s="29" t="n">
        <f aca="false">IF(K69&gt;K70,-1,IF(K68&lt;K69-0.000000001,-1,IF(K68&gt;K70,MAX(K69,K70-1),K68)))</f>
        <v>-1</v>
      </c>
      <c r="L71" s="29" t="n">
        <f aca="false">IF(L69&gt;L70,-1,IF(L68&lt;L69-0.000000001,-1,IF(L68&gt;L70,MAX(L69,L70-1),L68)))</f>
        <v>-1</v>
      </c>
      <c r="M71" s="29" t="n">
        <f aca="false">IF(M69&gt;M70,-1,IF(M68&lt;M69-0.000000001,-1,IF(M68&gt;M70,MAX(M69,M70-1),M68)))</f>
        <v>-1</v>
      </c>
    </row>
    <row r="72" customFormat="false" ht="15" hidden="false" customHeight="false" outlineLevel="0" collapsed="false">
      <c r="A72" s="9" t="s">
        <v>301</v>
      </c>
      <c r="B72" s="19" t="s">
        <v>157</v>
      </c>
      <c r="C72" s="38" t="n">
        <f aca="false">INDEX(T2_Tabel,Berekening!C95,3)+(Berekening!C94-INDEX(T2_Inkomen,Berekening!C95))/(INDEX(T2_Inkomen,Berekening!C95+1)-INDEX(T2_Inkomen,Berekening!C95))*(INDEX(T2_Tabel,Berekening!C95+1,3)-INDEX(T2_Tabel,Berekening!C95,3))</f>
        <v>0.311333333333333</v>
      </c>
      <c r="D72" s="38" t="n">
        <f aca="false">INDEX(T2_Tabel,Berekening!D95,3)+(Berekening!D94-INDEX(T2_Inkomen,Berekening!D95))/(INDEX(T2_Inkomen,Berekening!D95+1)-INDEX(T2_Inkomen,Berekening!D95))*(INDEX(T2_Tabel,Berekening!D95+1,3)-INDEX(T2_Tabel,Berekening!D95,3))</f>
        <v>0.311333333333333</v>
      </c>
      <c r="E72" s="38" t="n">
        <f aca="false">INDEX(T2_Tabel,Berekening!E95,3)+(Berekening!E94-INDEX(T2_Inkomen,Berekening!E95))/(INDEX(T2_Inkomen,Berekening!E95+1)-INDEX(T2_Inkomen,Berekening!E95))*(INDEX(T2_Tabel,Berekening!E95+1,3)-INDEX(T2_Tabel,Berekening!E95,3))</f>
        <v>0.311333333333333</v>
      </c>
      <c r="F72" s="38" t="n">
        <f aca="false">INDEX(T2_Tabel,Berekening!F95,3)+(Berekening!F94-INDEX(T2_Inkomen,Berekening!F95))/(INDEX(T2_Inkomen,Berekening!F95+1)-INDEX(T2_Inkomen,Berekening!F95))*(INDEX(T2_Tabel,Berekening!F95+1,3)-INDEX(T2_Tabel,Berekening!F95,3))</f>
        <v>0.311333333333333</v>
      </c>
      <c r="G72" s="38" t="n">
        <f aca="false">INDEX(T2_Tabel,Berekening!G95,3)+(Berekening!G94-INDEX(T2_Inkomen,Berekening!G95))/(INDEX(T2_Inkomen,Berekening!G95+1)-INDEX(T2_Inkomen,Berekening!G95))*(INDEX(T2_Tabel,Berekening!G95+1,3)-INDEX(T2_Tabel,Berekening!G95,3))</f>
        <v>0.284333333333333</v>
      </c>
      <c r="H72" s="38" t="n">
        <f aca="false">INDEX(T2_Tabel,Berekening!H95,3)+(Berekening!H94-INDEX(T2_Inkomen,Berekening!H95))/(INDEX(T2_Inkomen,Berekening!H95+1)-INDEX(T2_Inkomen,Berekening!H95))*(INDEX(T2_Tabel,Berekening!H95+1,3)-INDEX(T2_Tabel,Berekening!H95,3))</f>
        <v>0.311333333333333</v>
      </c>
      <c r="I72" s="38" t="n">
        <f aca="false">INDEX(T2_Tabel,Berekening!I95,3)+(Berekening!I94-INDEX(T2_Inkomen,Berekening!I95))/(INDEX(T2_Inkomen,Berekening!I95+1)-INDEX(T2_Inkomen,Berekening!I95))*(INDEX(T2_Tabel,Berekening!I95+1,3)-INDEX(T2_Tabel,Berekening!I95,3))</f>
        <v>0.311333333333333</v>
      </c>
      <c r="J72" s="38" t="n">
        <f aca="false">INDEX(T2_Tabel,Berekening!J95,3)+(Berekening!J94-INDEX(T2_Inkomen,Berekening!J95))/(INDEX(T2_Inkomen,Berekening!J95+1)-INDEX(T2_Inkomen,Berekening!J95))*(INDEX(T2_Tabel,Berekening!J95+1,3)-INDEX(T2_Tabel,Berekening!J95,3))</f>
        <v>0.311333333333333</v>
      </c>
      <c r="K72" s="38" t="n">
        <f aca="false">INDEX(T2_Tabel,Berekening!K95,3)+(Berekening!K94-INDEX(T2_Inkomen,Berekening!K95))/(INDEX(T2_Inkomen,Berekening!K95+1)-INDEX(T2_Inkomen,Berekening!K95))*(INDEX(T2_Tabel,Berekening!K95+1,3)-INDEX(T2_Tabel,Berekening!K95,3))</f>
        <v>0.311333333333333</v>
      </c>
      <c r="L72" s="38" t="n">
        <f aca="false">INDEX(T2_Tabel,Berekening!L95,3)+(Berekening!L94-INDEX(T2_Inkomen,Berekening!L95))/(INDEX(T2_Inkomen,Berekening!L95+1)-INDEX(T2_Inkomen,Berekening!L95))*(INDEX(T2_Tabel,Berekening!L95+1,3)-INDEX(T2_Tabel,Berekening!L95,3))</f>
        <v>0.311333333333333</v>
      </c>
      <c r="M72" s="38" t="n">
        <f aca="false">INDEX(T2_Tabel,Berekening!M95,3)+(Berekening!M94-INDEX(T2_Inkomen,Berekening!M95))/(INDEX(T2_Inkomen,Berekening!M95+1)-INDEX(T2_Inkomen,Berekening!M95))*(INDEX(T2_Tabel,Berekening!M95+1,3)-INDEX(T2_Tabel,Berekening!M95,3))</f>
        <v>0.311333333333333</v>
      </c>
    </row>
    <row r="73" customFormat="false" ht="15" hidden="false" customHeight="false" outlineLevel="0" collapsed="false">
      <c r="A73" s="9" t="s">
        <v>302</v>
      </c>
      <c r="B73" s="19" t="s">
        <v>101</v>
      </c>
      <c r="C73" s="29" t="n">
        <f aca="false">MAX(0,(C72*C60/12-Berekening!C18-Berekening!C44)*Berekening!C11-Berekening!C75+C61)</f>
        <v>463477.67298663</v>
      </c>
      <c r="D73" s="29" t="n">
        <f aca="false">MAX(0,(D72*D60/12-Berekening!D18-Berekening!D44)*Berekening!D11-Berekening!D75+D61)</f>
        <v>492529.224940439</v>
      </c>
      <c r="E73" s="29" t="n">
        <f aca="false">MAX(0,(E72*E60/12-Berekening!E18-Berekening!E44)*Berekening!E11-Berekening!E75+E61)</f>
        <v>340830.129648095</v>
      </c>
      <c r="F73" s="29" t="n">
        <f aca="false">MAX(0,(F72*F60/12-Berekening!F18-Berekening!F44)*Berekening!F11-Berekening!F75+F61)</f>
        <v>447609.383941122</v>
      </c>
      <c r="G73" s="29" t="n">
        <f aca="false">MAX(0,(G72*G60/12-Berekening!G18-Berekening!G44)*Berekening!G11-Berekening!G75+G61)</f>
        <v>296433.461257214</v>
      </c>
      <c r="H73" s="29" t="n">
        <f aca="false">MAX(0,(H72*H60/12-Berekening!H18-Berekening!H44)*Berekening!H11-Berekening!H75+H61)</f>
        <v>731119.765606001</v>
      </c>
      <c r="I73" s="29" t="n">
        <f aca="false">MAX(0,(I72*I60/12-Berekening!I18-Berekening!I44)*Berekening!I11-Berekening!I75+I61)</f>
        <v>1016249.57976032</v>
      </c>
      <c r="J73" s="29" t="n">
        <f aca="false">MAX(0,(J72*J60/12-Berekening!J18-Berekening!J44)*Berekening!J11-Berekening!J75+J61)</f>
        <v>110122.349108746</v>
      </c>
      <c r="K73" s="29" t="n">
        <f aca="false">MAX(0,(K72*K60/12-Berekening!K18-Berekening!K44)*Berekening!K11-Berekening!K75+K61)</f>
        <v>253095.208025114</v>
      </c>
      <c r="L73" s="29" t="n">
        <f aca="false">MAX(0,(L72*L60/12-Berekening!L18-Berekening!L44)*Berekening!L11-Berekening!L75+L61)</f>
        <v>0</v>
      </c>
      <c r="M73" s="29" t="n">
        <f aca="false">MAX(0,(M72*M60/12-Berekening!M18-Berekening!M44)*Berekening!M11-Berekening!M75+M61)</f>
        <v>463477.67298663</v>
      </c>
    </row>
    <row r="74" customFormat="false" ht="15" hidden="false" customHeight="false" outlineLevel="0" collapsed="false">
      <c r="A74" s="9" t="s">
        <v>303</v>
      </c>
      <c r="B74" s="19" t="s">
        <v>101</v>
      </c>
      <c r="C74" s="29" t="n">
        <f aca="false">MAX(0,IF((INDEX(T2_Rente,3)+0.000005)&gt;Berekening!C10,(Berekening!C45-(INDEX(T2_Rente,3)+0.000005)*Berekening!C46)/(360*((INDEX(T2_Rente,3)+0.000005)-Berekening!C10)),IF((INDEX(T2_Rente,3)+0.000005)=Berekening!C10,IF(Berekening!C45-(INDEX(T2_Rente,3)+0.000005)*Berekening!C46&lt;=0,-1000000000000,1000000000000),-1000000000000)),IF((INDEX(T2_Rente,3)-0.005+0.000005)&lt;Berekening!C10,(Berekening!C45-(INDEX(T2_Rente,3)-0.005+0.000005)*Berekening!C46)/(360*((INDEX(T2_Rente,3)-0.005+0.000005)-Berekening!C10)),IF((INDEX(T2_Rente,3)-0.005+0.000005)=Berekening!C10,IF(Berekening!C45-(INDEX(T2_Rente,3)-0.005+0.000005)*Berekening!C46&gt;0,-1000000000000,1000000000000),-1000000000000)))</f>
        <v>0</v>
      </c>
      <c r="D74" s="29" t="n">
        <f aca="false">MAX(0,IF((INDEX(T2_Rente,3)+0.000005)&gt;Berekening!D10,(Berekening!D45-(INDEX(T2_Rente,3)+0.000005)*Berekening!D46)/(360*((INDEX(T2_Rente,3)+0.000005)-Berekening!D10)),IF((INDEX(T2_Rente,3)+0.000005)=Berekening!D10,IF(Berekening!D45-(INDEX(T2_Rente,3)+0.000005)*Berekening!D46&lt;=0,-1000000000000,1000000000000),-1000000000000)),IF((INDEX(T2_Rente,3)-0.005+0.000005)&lt;Berekening!D10,(Berekening!D45-(INDEX(T2_Rente,3)-0.005+0.000005)*Berekening!D46)/(360*((INDEX(T2_Rente,3)-0.005+0.000005)-Berekening!D10)),IF((INDEX(T2_Rente,3)-0.005+0.000005)=Berekening!D10,IF(Berekening!D45-(INDEX(T2_Rente,3)-0.005+0.000005)*Berekening!D46&gt;0,-1000000000000,1000000000000),-1000000000000)))</f>
        <v>0</v>
      </c>
      <c r="E74" s="29" t="n">
        <f aca="false">MAX(0,IF((INDEX(T2_Rente,3)+0.000005)&gt;Berekening!E10,(Berekening!E45-(INDEX(T2_Rente,3)+0.000005)*Berekening!E46)/(360*((INDEX(T2_Rente,3)+0.000005)-Berekening!E10)),IF((INDEX(T2_Rente,3)+0.000005)=Berekening!E10,IF(Berekening!E45-(INDEX(T2_Rente,3)+0.000005)*Berekening!E46&lt;=0,-1000000000000,1000000000000),-1000000000000)),IF((INDEX(T2_Rente,3)-0.005+0.000005)&lt;Berekening!E10,(Berekening!E45-(INDEX(T2_Rente,3)-0.005+0.000005)*Berekening!E46)/(360*((INDEX(T2_Rente,3)-0.005+0.000005)-Berekening!E10)),IF((INDEX(T2_Rente,3)-0.005+0.000005)=Berekening!E10,IF(Berekening!E45-(INDEX(T2_Rente,3)-0.005+0.000005)*Berekening!E46&gt;0,-1000000000000,1000000000000),-1000000000000)))</f>
        <v>0</v>
      </c>
      <c r="F74" s="29" t="n">
        <f aca="false">MAX(0,IF((INDEX(T2_Rente,3)+0.000005)&gt;Berekening!F10,(Berekening!F45-(INDEX(T2_Rente,3)+0.000005)*Berekening!F46)/(360*((INDEX(T2_Rente,3)+0.000005)-Berekening!F10)),IF((INDEX(T2_Rente,3)+0.000005)=Berekening!F10,IF(Berekening!F45-(INDEX(T2_Rente,3)+0.000005)*Berekening!F46&lt;=0,-1000000000000,1000000000000),-1000000000000)),IF((INDEX(T2_Rente,3)-0.005+0.000005)&lt;Berekening!F10,(Berekening!F45-(INDEX(T2_Rente,3)-0.005+0.000005)*Berekening!F46)/(360*((INDEX(T2_Rente,3)-0.005+0.000005)-Berekening!F10)),IF((INDEX(T2_Rente,3)-0.005+0.000005)=Berekening!F10,IF(Berekening!F45-(INDEX(T2_Rente,3)-0.005+0.000005)*Berekening!F46&gt;0,-1000000000000,1000000000000),-1000000000000)))</f>
        <v>0</v>
      </c>
      <c r="G74" s="29" t="n">
        <f aca="false">MAX(0,IF((INDEX(T2_Rente,3)+0.000005)&gt;Berekening!G10,(Berekening!G45-(INDEX(T2_Rente,3)+0.000005)*Berekening!G46)/(360*((INDEX(T2_Rente,3)+0.000005)-Berekening!G10)),IF((INDEX(T2_Rente,3)+0.000005)=Berekening!G10,IF(Berekening!G45-(INDEX(T2_Rente,3)+0.000005)*Berekening!G46&lt;=0,-1000000000000,1000000000000),-1000000000000)),IF((INDEX(T2_Rente,3)-0.005+0.000005)&lt;Berekening!G10,(Berekening!G45-(INDEX(T2_Rente,3)-0.005+0.000005)*Berekening!G46)/(360*((INDEX(T2_Rente,3)-0.005+0.000005)-Berekening!G10)),IF((INDEX(T2_Rente,3)-0.005+0.000005)=Berekening!G10,IF(Berekening!G45-(INDEX(T2_Rente,3)-0.005+0.000005)*Berekening!G46&gt;0,-1000000000000,1000000000000),-1000000000000)))</f>
        <v>-0</v>
      </c>
      <c r="H74" s="29" t="n">
        <f aca="false">MAX(0,IF((INDEX(T2_Rente,3)+0.000005)&gt;Berekening!H10,(Berekening!H45-(INDEX(T2_Rente,3)+0.000005)*Berekening!H46)/(360*((INDEX(T2_Rente,3)+0.000005)-Berekening!H10)),IF((INDEX(T2_Rente,3)+0.000005)=Berekening!H10,IF(Berekening!H45-(INDEX(T2_Rente,3)+0.000005)*Berekening!H46&lt;=0,-1000000000000,1000000000000),-1000000000000)),IF((INDEX(T2_Rente,3)-0.005+0.000005)&lt;Berekening!H10,(Berekening!H45-(INDEX(T2_Rente,3)-0.005+0.000005)*Berekening!H46)/(360*((INDEX(T2_Rente,3)-0.005+0.000005)-Berekening!H10)),IF((INDEX(T2_Rente,3)-0.005+0.000005)=Berekening!H10,IF(Berekening!H45-(INDEX(T2_Rente,3)-0.005+0.000005)*Berekening!H46&gt;0,-1000000000000,1000000000000),-1000000000000)))</f>
        <v>-0</v>
      </c>
      <c r="I74" s="29" t="n">
        <f aca="false">MAX(0,IF((INDEX(T2_Rente,3)+0.000005)&gt;Berekening!I10,(Berekening!I45-(INDEX(T2_Rente,3)+0.000005)*Berekening!I46)/(360*((INDEX(T2_Rente,3)+0.000005)-Berekening!I10)),IF((INDEX(T2_Rente,3)+0.000005)=Berekening!I10,IF(Berekening!I45-(INDEX(T2_Rente,3)+0.000005)*Berekening!I46&lt;=0,-1000000000000,1000000000000),-1000000000000)),IF((INDEX(T2_Rente,3)-0.005+0.000005)&lt;Berekening!I10,(Berekening!I45-(INDEX(T2_Rente,3)-0.005+0.000005)*Berekening!I46)/(360*((INDEX(T2_Rente,3)-0.005+0.000005)-Berekening!I10)),IF((INDEX(T2_Rente,3)-0.005+0.000005)=Berekening!I10,IF(Berekening!I45-(INDEX(T2_Rente,3)-0.005+0.000005)*Berekening!I46&gt;0,-1000000000000,1000000000000),-1000000000000)))</f>
        <v>-0</v>
      </c>
      <c r="J74" s="29" t="n">
        <f aca="false">MAX(0,IF((INDEX(T2_Rente,3)+0.000005)&gt;Berekening!J10,(Berekening!J45-(INDEX(T2_Rente,3)+0.000005)*Berekening!J46)/(360*((INDEX(T2_Rente,3)+0.000005)-Berekening!J10)),IF((INDEX(T2_Rente,3)+0.000005)=Berekening!J10,IF(Berekening!J45-(INDEX(T2_Rente,3)+0.000005)*Berekening!J46&lt;=0,-1000000000000,1000000000000),-1000000000000)),IF((INDEX(T2_Rente,3)-0.005+0.000005)&lt;Berekening!J10,(Berekening!J45-(INDEX(T2_Rente,3)-0.005+0.000005)*Berekening!J46)/(360*((INDEX(T2_Rente,3)-0.005+0.000005)-Berekening!J10)),IF((INDEX(T2_Rente,3)-0.005+0.000005)=Berekening!J10,IF(Berekening!J45-(INDEX(T2_Rente,3)-0.005+0.000005)*Berekening!J46&gt;0,-1000000000000,1000000000000),-1000000000000)))</f>
        <v>0</v>
      </c>
      <c r="K74" s="29" t="n">
        <f aca="false">MAX(0,IF((INDEX(T2_Rente,3)+0.000005)&gt;Berekening!K10,(Berekening!K45-(INDEX(T2_Rente,3)+0.000005)*Berekening!K46)/(360*((INDEX(T2_Rente,3)+0.000005)-Berekening!K10)),IF((INDEX(T2_Rente,3)+0.000005)=Berekening!K10,IF(Berekening!K45-(INDEX(T2_Rente,3)+0.000005)*Berekening!K46&lt;=0,-1000000000000,1000000000000),-1000000000000)),IF((INDEX(T2_Rente,3)-0.005+0.000005)&lt;Berekening!K10,(Berekening!K45-(INDEX(T2_Rente,3)-0.005+0.000005)*Berekening!K46)/(360*((INDEX(T2_Rente,3)-0.005+0.000005)-Berekening!K10)),IF((INDEX(T2_Rente,3)-0.005+0.000005)=Berekening!K10,IF(Berekening!K45-(INDEX(T2_Rente,3)-0.005+0.000005)*Berekening!K46&gt;0,-1000000000000,1000000000000),-1000000000000)))</f>
        <v>0</v>
      </c>
      <c r="L74" s="29" t="n">
        <f aca="false">MAX(0,IF((INDEX(T2_Rente,3)+0.000005)&gt;Berekening!L10,(Berekening!L45-(INDEX(T2_Rente,3)+0.000005)*Berekening!L46)/(360*((INDEX(T2_Rente,3)+0.000005)-Berekening!L10)),IF((INDEX(T2_Rente,3)+0.000005)=Berekening!L10,IF(Berekening!L45-(INDEX(T2_Rente,3)+0.000005)*Berekening!L46&lt;=0,-1000000000000,1000000000000),-1000000000000)),IF((INDEX(T2_Rente,3)-0.005+0.000005)&lt;Berekening!L10,(Berekening!L45-(INDEX(T2_Rente,3)-0.005+0.000005)*Berekening!L46)/(360*((INDEX(T2_Rente,3)-0.005+0.000005)-Berekening!L10)),IF((INDEX(T2_Rente,3)-0.005+0.000005)=Berekening!L10,IF(Berekening!L45-(INDEX(T2_Rente,3)-0.005+0.000005)*Berekening!L46&gt;0,-1000000000000,1000000000000),-1000000000000)))</f>
        <v>0</v>
      </c>
      <c r="M74" s="29" t="n">
        <f aca="false">MAX(0,IF((INDEX(T2_Rente,3)+0.000005)&gt;Berekening!M10,(Berekening!M45-(INDEX(T2_Rente,3)+0.000005)*Berekening!M46)/(360*((INDEX(T2_Rente,3)+0.000005)-Berekening!M10)),IF((INDEX(T2_Rente,3)+0.000005)=Berekening!M10,IF(Berekening!M45-(INDEX(T2_Rente,3)+0.000005)*Berekening!M46&lt;=0,-1000000000000,1000000000000),-1000000000000)),IF((INDEX(T2_Rente,3)-0.005+0.000005)&lt;Berekening!M10,(Berekening!M45-(INDEX(T2_Rente,3)-0.005+0.000005)*Berekening!M46)/(360*((INDEX(T2_Rente,3)-0.005+0.000005)-Berekening!M10)),IF((INDEX(T2_Rente,3)-0.005+0.000005)=Berekening!M10,IF(Berekening!M45-(INDEX(T2_Rente,3)-0.005+0.000005)*Berekening!M46&gt;0,-1000000000000,1000000000000),-1000000000000)))</f>
        <v>0</v>
      </c>
    </row>
    <row r="75" customFormat="false" ht="15" hidden="false" customHeight="false" outlineLevel="0" collapsed="false">
      <c r="A75" s="9" t="s">
        <v>304</v>
      </c>
      <c r="B75" s="19" t="s">
        <v>101</v>
      </c>
      <c r="C75" s="29" t="n">
        <f aca="false">MIN(1000000000000,IF((INDEX(T2_Rente,3)+0.000005)&lt;Berekening!C10,(Berekening!C45-(INDEX(T2_Rente,3)+0.000005)*Berekening!C46)/(360*((INDEX(T2_Rente,3)+0.000005)-Berekening!C10)),1000000000000),IF((INDEX(T2_Rente,3)-0.005+0.000005)&gt;Berekening!C10,(Berekening!C45-(INDEX(T2_Rente,3)-0.005+0.000005)*Berekening!C46)/(360*((INDEX(T2_Rente,3)-0.005+0.000005)-Berekening!C10)),1000000000000))</f>
        <v>-144272.849430311</v>
      </c>
      <c r="D75" s="29" t="n">
        <f aca="false">MIN(1000000000000,IF((INDEX(T2_Rente,3)+0.000005)&lt;Berekening!D10,(Berekening!D45-(INDEX(T2_Rente,3)+0.000005)*Berekening!D46)/(360*((INDEX(T2_Rente,3)+0.000005)-Berekening!D10)),1000000000000),IF((INDEX(T2_Rente,3)-0.005+0.000005)&gt;Berekening!D10,(Berekening!D45-(INDEX(T2_Rente,3)-0.005+0.000005)*Berekening!D46)/(360*((INDEX(T2_Rente,3)-0.005+0.000005)-Berekening!D10)),1000000000000))</f>
        <v>-202381.685108472</v>
      </c>
      <c r="E75" s="29" t="n">
        <f aca="false">MIN(1000000000000,IF((INDEX(T2_Rente,3)+0.000005)&lt;Berekening!E10,(Berekening!E45-(INDEX(T2_Rente,3)+0.000005)*Berekening!E46)/(360*((INDEX(T2_Rente,3)+0.000005)-Berekening!E10)),1000000000000),IF((INDEX(T2_Rente,3)-0.005+0.000005)&gt;Berekening!E10,(Berekening!E45-(INDEX(T2_Rente,3)-0.005+0.000005)*Berekening!E46)/(360*((INDEX(T2_Rente,3)-0.005+0.000005)-Berekening!E10)),1000000000000))</f>
        <v>-653954.603483748</v>
      </c>
      <c r="F75" s="29" t="n">
        <f aca="false">MIN(1000000000000,IF((INDEX(T2_Rente,3)+0.000005)&lt;Berekening!F10,(Berekening!F45-(INDEX(T2_Rente,3)+0.000005)*Berekening!F46)/(360*((INDEX(T2_Rente,3)+0.000005)-Berekening!F10)),1000000000000),IF((INDEX(T2_Rente,3)-0.005+0.000005)&gt;Berekening!F10,(Berekening!F45-(INDEX(T2_Rente,3)-0.005+0.000005)*Berekening!F46)/(360*((INDEX(T2_Rente,3)-0.005+0.000005)-Berekening!F10)),1000000000000))</f>
        <v>-126379.43741855</v>
      </c>
      <c r="G75" s="29" t="n">
        <f aca="false">MIN(1000000000000,IF((INDEX(T2_Rente,3)+0.000005)&lt;Berekening!G10,(Berekening!G45-(INDEX(T2_Rente,3)+0.000005)*Berekening!G46)/(360*((INDEX(T2_Rente,3)+0.000005)-Berekening!G10)),1000000000000),IF((INDEX(T2_Rente,3)-0.005+0.000005)&gt;Berekening!G10,(Berekening!G45-(INDEX(T2_Rente,3)-0.005+0.000005)*Berekening!G46)/(360*((INDEX(T2_Rente,3)-0.005+0.000005)-Berekening!G10)),1000000000000))</f>
        <v>-0</v>
      </c>
      <c r="H75" s="29" t="n">
        <f aca="false">MIN(1000000000000,IF((INDEX(T2_Rente,3)+0.000005)&lt;Berekening!H10,(Berekening!H45-(INDEX(T2_Rente,3)+0.000005)*Berekening!H46)/(360*((INDEX(T2_Rente,3)+0.000005)-Berekening!H10)),1000000000000),IF((INDEX(T2_Rente,3)-0.005+0.000005)&gt;Berekening!H10,(Berekening!H45-(INDEX(T2_Rente,3)-0.005+0.000005)*Berekening!H46)/(360*((INDEX(T2_Rente,3)-0.005+0.000005)-Berekening!H10)),1000000000000))</f>
        <v>-0</v>
      </c>
      <c r="I75" s="29" t="n">
        <f aca="false">MIN(1000000000000,IF((INDEX(T2_Rente,3)+0.000005)&lt;Berekening!I10,(Berekening!I45-(INDEX(T2_Rente,3)+0.000005)*Berekening!I46)/(360*((INDEX(T2_Rente,3)+0.000005)-Berekening!I10)),1000000000000),IF((INDEX(T2_Rente,3)-0.005+0.000005)&gt;Berekening!I10,(Berekening!I45-(INDEX(T2_Rente,3)-0.005+0.000005)*Berekening!I46)/(360*((INDEX(T2_Rente,3)-0.005+0.000005)-Berekening!I10)),1000000000000))</f>
        <v>-0</v>
      </c>
      <c r="J75" s="29" t="n">
        <f aca="false">MIN(1000000000000,IF((INDEX(T2_Rente,3)+0.000005)&lt;Berekening!J10,(Berekening!J45-(INDEX(T2_Rente,3)+0.000005)*Berekening!J46)/(360*((INDEX(T2_Rente,3)+0.000005)-Berekening!J10)),1000000000000),IF((INDEX(T2_Rente,3)-0.005+0.000005)&gt;Berekening!J10,(Berekening!J45-(INDEX(T2_Rente,3)-0.005+0.000005)*Berekening!J46)/(360*((INDEX(T2_Rente,3)-0.005+0.000005)-Berekening!J10)),1000000000000))</f>
        <v>-144272.849430311</v>
      </c>
      <c r="K75" s="29" t="n">
        <f aca="false">MIN(1000000000000,IF((INDEX(T2_Rente,3)+0.000005)&lt;Berekening!K10,(Berekening!K45-(INDEX(T2_Rente,3)+0.000005)*Berekening!K46)/(360*((INDEX(T2_Rente,3)+0.000005)-Berekening!K10)),1000000000000),IF((INDEX(T2_Rente,3)-0.005+0.000005)&gt;Berekening!K10,(Berekening!K45-(INDEX(T2_Rente,3)-0.005+0.000005)*Berekening!K46)/(360*((INDEX(T2_Rente,3)-0.005+0.000005)-Berekening!K10)),1000000000000))</f>
        <v>-541618.58364416</v>
      </c>
      <c r="L75" s="29" t="n">
        <f aca="false">MIN(1000000000000,IF((INDEX(T2_Rente,3)+0.000005)&lt;Berekening!L10,(Berekening!L45-(INDEX(T2_Rente,3)+0.000005)*Berekening!L46)/(360*((INDEX(T2_Rente,3)+0.000005)-Berekening!L10)),1000000000000),IF((INDEX(T2_Rente,3)-0.005+0.000005)&gt;Berekening!L10,(Berekening!L45-(INDEX(T2_Rente,3)-0.005+0.000005)*Berekening!L46)/(360*((INDEX(T2_Rente,3)-0.005+0.000005)-Berekening!L10)),1000000000000))</f>
        <v>-144272.849430311</v>
      </c>
      <c r="M75" s="29" t="n">
        <f aca="false">MIN(1000000000000,IF((INDEX(T2_Rente,3)+0.000005)&lt;Berekening!M10,(Berekening!M45-(INDEX(T2_Rente,3)+0.000005)*Berekening!M46)/(360*((INDEX(T2_Rente,3)+0.000005)-Berekening!M10)),1000000000000),IF((INDEX(T2_Rente,3)-0.005+0.000005)&gt;Berekening!M10,(Berekening!M45-(INDEX(T2_Rente,3)-0.005+0.000005)*Berekening!M46)/(360*((INDEX(T2_Rente,3)-0.005+0.000005)-Berekening!M10)),1000000000000))</f>
        <v>-144272.849430311</v>
      </c>
    </row>
    <row r="76" customFormat="false" ht="15" hidden="false" customHeight="false" outlineLevel="0" collapsed="false">
      <c r="A76" s="9" t="s">
        <v>305</v>
      </c>
      <c r="B76" s="19" t="s">
        <v>101</v>
      </c>
      <c r="C76" s="29" t="n">
        <f aca="false">IF(C74&gt;C75,-1,IF(C73&lt;C74-0.000000001,-1,IF(C73&gt;C75,MAX(C74,C75-1),C73)))</f>
        <v>-1</v>
      </c>
      <c r="D76" s="29" t="n">
        <f aca="false">IF(D74&gt;D75,-1,IF(D73&lt;D74-0.000000001,-1,IF(D73&gt;D75,MAX(D74,D75-1),D73)))</f>
        <v>-1</v>
      </c>
      <c r="E76" s="29" t="n">
        <f aca="false">IF(E74&gt;E75,-1,IF(E73&lt;E74-0.000000001,-1,IF(E73&gt;E75,MAX(E74,E75-1),E73)))</f>
        <v>-1</v>
      </c>
      <c r="F76" s="29" t="n">
        <f aca="false">IF(F74&gt;F75,-1,IF(F73&lt;F74-0.000000001,-1,IF(F73&gt;F75,MAX(F74,F75-1),F73)))</f>
        <v>-1</v>
      </c>
      <c r="G76" s="29" t="n">
        <f aca="false">IF(G74&gt;G75,-1,IF(G73&lt;G74-0.000000001,-1,IF(G73&gt;G75,MAX(G74,G75-1),G73)))</f>
        <v>-0</v>
      </c>
      <c r="H76" s="29" t="n">
        <f aca="false">IF(H74&gt;H75,-1,IF(H73&lt;H74-0.000000001,-1,IF(H73&gt;H75,MAX(H74,H75-1),H73)))</f>
        <v>-0</v>
      </c>
      <c r="I76" s="29" t="n">
        <f aca="false">IF(I74&gt;I75,-1,IF(I73&lt;I74-0.000000001,-1,IF(I73&gt;I75,MAX(I74,I75-1),I73)))</f>
        <v>-0</v>
      </c>
      <c r="J76" s="29" t="n">
        <f aca="false">IF(J74&gt;J75,-1,IF(J73&lt;J74-0.000000001,-1,IF(J73&gt;J75,MAX(J74,J75-1),J73)))</f>
        <v>-1</v>
      </c>
      <c r="K76" s="29" t="n">
        <f aca="false">IF(K74&gt;K75,-1,IF(K73&lt;K74-0.000000001,-1,IF(K73&gt;K75,MAX(K74,K75-1),K73)))</f>
        <v>-1</v>
      </c>
      <c r="L76" s="29" t="n">
        <f aca="false">IF(L74&gt;L75,-1,IF(L73&lt;L74-0.000000001,-1,IF(L73&gt;L75,MAX(L74,L75-1),L73)))</f>
        <v>-1</v>
      </c>
      <c r="M76" s="29" t="n">
        <f aca="false">IF(M74&gt;M75,-1,IF(M73&lt;M74-0.000000001,-1,IF(M73&gt;M75,MAX(M74,M75-1),M73)))</f>
        <v>-1</v>
      </c>
    </row>
    <row r="77" customFormat="false" ht="15" hidden="false" customHeight="false" outlineLevel="0" collapsed="false">
      <c r="A77" s="9" t="s">
        <v>306</v>
      </c>
      <c r="B77" s="19" t="s">
        <v>157</v>
      </c>
      <c r="C77" s="38" t="n">
        <f aca="false">INDEX(T2_Tabel,Berekening!C95,4)+(Berekening!C94-INDEX(T2_Inkomen,Berekening!C95))/(INDEX(T2_Inkomen,Berekening!C95+1)-INDEX(T2_Inkomen,Berekening!C95))*(INDEX(T2_Tabel,Berekening!C95+1,4)-INDEX(T2_Tabel,Berekening!C95,4))</f>
        <v>0.325</v>
      </c>
      <c r="D77" s="38" t="n">
        <f aca="false">INDEX(T2_Tabel,Berekening!D95,4)+(Berekening!D94-INDEX(T2_Inkomen,Berekening!D95))/(INDEX(T2_Inkomen,Berekening!D95+1)-INDEX(T2_Inkomen,Berekening!D95))*(INDEX(T2_Tabel,Berekening!D95+1,4)-INDEX(T2_Tabel,Berekening!D95,4))</f>
        <v>0.325</v>
      </c>
      <c r="E77" s="38" t="n">
        <f aca="false">INDEX(T2_Tabel,Berekening!E95,4)+(Berekening!E94-INDEX(T2_Inkomen,Berekening!E95))/(INDEX(T2_Inkomen,Berekening!E95+1)-INDEX(T2_Inkomen,Berekening!E95))*(INDEX(T2_Tabel,Berekening!E95+1,4)-INDEX(T2_Tabel,Berekening!E95,4))</f>
        <v>0.325</v>
      </c>
      <c r="F77" s="38" t="n">
        <f aca="false">INDEX(T2_Tabel,Berekening!F95,4)+(Berekening!F94-INDEX(T2_Inkomen,Berekening!F95))/(INDEX(T2_Inkomen,Berekening!F95+1)-INDEX(T2_Inkomen,Berekening!F95))*(INDEX(T2_Tabel,Berekening!F95+1,4)-INDEX(T2_Tabel,Berekening!F95,4))</f>
        <v>0.325</v>
      </c>
      <c r="G77" s="38" t="n">
        <f aca="false">INDEX(T2_Tabel,Berekening!G95,4)+(Berekening!G94-INDEX(T2_Inkomen,Berekening!G95))/(INDEX(T2_Inkomen,Berekening!G95+1)-INDEX(T2_Inkomen,Berekening!G95))*(INDEX(T2_Tabel,Berekening!G95+1,4)-INDEX(T2_Tabel,Berekening!G95,4))</f>
        <v>0.299</v>
      </c>
      <c r="H77" s="38" t="n">
        <f aca="false">INDEX(T2_Tabel,Berekening!H95,4)+(Berekening!H94-INDEX(T2_Inkomen,Berekening!H95))/(INDEX(T2_Inkomen,Berekening!H95+1)-INDEX(T2_Inkomen,Berekening!H95))*(INDEX(T2_Tabel,Berekening!H95+1,4)-INDEX(T2_Tabel,Berekening!H95,4))</f>
        <v>0.325</v>
      </c>
      <c r="I77" s="38" t="n">
        <f aca="false">INDEX(T2_Tabel,Berekening!I95,4)+(Berekening!I94-INDEX(T2_Inkomen,Berekening!I95))/(INDEX(T2_Inkomen,Berekening!I95+1)-INDEX(T2_Inkomen,Berekening!I95))*(INDEX(T2_Tabel,Berekening!I95+1,4)-INDEX(T2_Tabel,Berekening!I95,4))</f>
        <v>0.325</v>
      </c>
      <c r="J77" s="38" t="n">
        <f aca="false">INDEX(T2_Tabel,Berekening!J95,4)+(Berekening!J94-INDEX(T2_Inkomen,Berekening!J95))/(INDEX(T2_Inkomen,Berekening!J95+1)-INDEX(T2_Inkomen,Berekening!J95))*(INDEX(T2_Tabel,Berekening!J95+1,4)-INDEX(T2_Tabel,Berekening!J95,4))</f>
        <v>0.325</v>
      </c>
      <c r="K77" s="38" t="n">
        <f aca="false">INDEX(T2_Tabel,Berekening!K95,4)+(Berekening!K94-INDEX(T2_Inkomen,Berekening!K95))/(INDEX(T2_Inkomen,Berekening!K95+1)-INDEX(T2_Inkomen,Berekening!K95))*(INDEX(T2_Tabel,Berekening!K95+1,4)-INDEX(T2_Tabel,Berekening!K95,4))</f>
        <v>0.325</v>
      </c>
      <c r="L77" s="38" t="n">
        <f aca="false">INDEX(T2_Tabel,Berekening!L95,4)+(Berekening!L94-INDEX(T2_Inkomen,Berekening!L95))/(INDEX(T2_Inkomen,Berekening!L95+1)-INDEX(T2_Inkomen,Berekening!L95))*(INDEX(T2_Tabel,Berekening!L95+1,4)-INDEX(T2_Tabel,Berekening!L95,4))</f>
        <v>0.325</v>
      </c>
      <c r="M77" s="38" t="n">
        <f aca="false">INDEX(T2_Tabel,Berekening!M95,4)+(Berekening!M94-INDEX(T2_Inkomen,Berekening!M95))/(INDEX(T2_Inkomen,Berekening!M95+1)-INDEX(T2_Inkomen,Berekening!M95))*(INDEX(T2_Tabel,Berekening!M95+1,4)-INDEX(T2_Tabel,Berekening!M95,4))</f>
        <v>0.325</v>
      </c>
    </row>
    <row r="78" customFormat="false" ht="15" hidden="false" customHeight="false" outlineLevel="0" collapsed="false">
      <c r="A78" s="9" t="s">
        <v>307</v>
      </c>
      <c r="B78" s="19" t="s">
        <v>101</v>
      </c>
      <c r="C78" s="29" t="n">
        <f aca="false">MAX(0,(C77*C60/12-Berekening!C18-Berekening!C44)*Berekening!C11-Berekening!C75+C61)</f>
        <v>512943.258764235</v>
      </c>
      <c r="D78" s="29" t="n">
        <f aca="false">MAX(0,(D77*D60/12-Berekening!D18-Berekening!D44)*Berekening!D11-Berekening!D75+D61)</f>
        <v>541994.810718044</v>
      </c>
      <c r="E78" s="29" t="n">
        <f aca="false">MAX(0,(E77*E60/12-Berekening!E18-Berekening!E44)*Berekening!E11-Berekening!E75+E61)</f>
        <v>390295.7154257</v>
      </c>
      <c r="F78" s="29" t="n">
        <f aca="false">MAX(0,(F77*F60/12-Berekening!F18-Berekening!F44)*Berekening!F11-Berekening!F75+F61)</f>
        <v>495344.048309178</v>
      </c>
      <c r="G78" s="29" t="n">
        <f aca="false">MAX(0,(G77*G60/12-Berekening!G18-Berekening!G44)*Berekening!G11-Berekening!G75+G61)</f>
        <v>310589.466292756</v>
      </c>
      <c r="H78" s="29" t="n">
        <f aca="false">MAX(0,(H77*H60/12-Berekening!H18-Berekening!H44)*Berekening!H11-Berekening!H75+H61)</f>
        <v>764096.822791071</v>
      </c>
      <c r="I78" s="29" t="n">
        <f aca="false">MAX(0,(I77*I60/12-Berekening!I18-Berekening!I44)*Berekening!I11-Berekening!I75+I61)</f>
        <v>1065715.16553792</v>
      </c>
      <c r="J78" s="29" t="n">
        <f aca="false">MAX(0,(J77*J60/12-Berekening!J18-Berekening!J44)*Berekening!J11-Berekening!J75+J61)</f>
        <v>142439.865150114</v>
      </c>
      <c r="K78" s="29" t="n">
        <f aca="false">MAX(0,(K77*K60/12-Berekening!K18-Berekening!K44)*Berekening!K11-Berekening!K75+K61)</f>
        <v>302560.793802719</v>
      </c>
      <c r="L78" s="29" t="n">
        <f aca="false">MAX(0,(L77*L60/12-Berekening!L18-Berekening!L44)*Berekening!L11-Berekening!L75+L61)</f>
        <v>0</v>
      </c>
      <c r="M78" s="29" t="n">
        <f aca="false">MAX(0,(M77*M60/12-Berekening!M18-Berekening!M44)*Berekening!M11-Berekening!M75+M61)</f>
        <v>512943.258764235</v>
      </c>
    </row>
    <row r="79" customFormat="false" ht="15" hidden="false" customHeight="false" outlineLevel="0" collapsed="false">
      <c r="A79" s="9" t="s">
        <v>308</v>
      </c>
      <c r="B79" s="19" t="s">
        <v>101</v>
      </c>
      <c r="C79" s="29" t="n">
        <f aca="false">MAX(0,IF((INDEX(T2_Rente,4)+0.000005)&gt;Berekening!C10,(Berekening!C45-(INDEX(T2_Rente,4)+0.000005)*Berekening!C46)/(360*((INDEX(T2_Rente,4)+0.000005)-Berekening!C10)),IF((INDEX(T2_Rente,4)+0.000005)=Berekening!C10,IF(Berekening!C45-(INDEX(T2_Rente,4)+0.000005)*Berekening!C46&lt;=0,-1000000000000,1000000000000),-1000000000000)),IF((INDEX(T2_Rente,4)-0.005+0.000005)&lt;Berekening!C10,(Berekening!C45-(INDEX(T2_Rente,4)-0.005+0.000005)*Berekening!C46)/(360*((INDEX(T2_Rente,4)-0.005+0.000005)-Berekening!C10)),IF((INDEX(T2_Rente,4)-0.005+0.000005)=Berekening!C10,IF(Berekening!C45-(INDEX(T2_Rente,4)-0.005+0.000005)*Berekening!C46&gt;0,-1000000000000,1000000000000),-1000000000000)))</f>
        <v>0</v>
      </c>
      <c r="D79" s="29" t="n">
        <f aca="false">MAX(0,IF((INDEX(T2_Rente,4)+0.000005)&gt;Berekening!D10,(Berekening!D45-(INDEX(T2_Rente,4)+0.000005)*Berekening!D46)/(360*((INDEX(T2_Rente,4)+0.000005)-Berekening!D10)),IF((INDEX(T2_Rente,4)+0.000005)=Berekening!D10,IF(Berekening!D45-(INDEX(T2_Rente,4)+0.000005)*Berekening!D46&lt;=0,-1000000000000,1000000000000),-1000000000000)),IF((INDEX(T2_Rente,4)-0.005+0.000005)&lt;Berekening!D10,(Berekening!D45-(INDEX(T2_Rente,4)-0.005+0.000005)*Berekening!D46)/(360*((INDEX(T2_Rente,4)-0.005+0.000005)-Berekening!D10)),IF((INDEX(T2_Rente,4)-0.005+0.000005)=Berekening!D10,IF(Berekening!D45-(INDEX(T2_Rente,4)-0.005+0.000005)*Berekening!D46&gt;0,-1000000000000,1000000000000),-1000000000000)))</f>
        <v>0</v>
      </c>
      <c r="E79" s="29" t="n">
        <f aca="false">MAX(0,IF((INDEX(T2_Rente,4)+0.000005)&gt;Berekening!E10,(Berekening!E45-(INDEX(T2_Rente,4)+0.000005)*Berekening!E46)/(360*((INDEX(T2_Rente,4)+0.000005)-Berekening!E10)),IF((INDEX(T2_Rente,4)+0.000005)=Berekening!E10,IF(Berekening!E45-(INDEX(T2_Rente,4)+0.000005)*Berekening!E46&lt;=0,-1000000000000,1000000000000),-1000000000000)),IF((INDEX(T2_Rente,4)-0.005+0.000005)&lt;Berekening!E10,(Berekening!E45-(INDEX(T2_Rente,4)-0.005+0.000005)*Berekening!E46)/(360*((INDEX(T2_Rente,4)-0.005+0.000005)-Berekening!E10)),IF((INDEX(T2_Rente,4)-0.005+0.000005)=Berekening!E10,IF(Berekening!E45-(INDEX(T2_Rente,4)-0.005+0.000005)*Berekening!E46&gt;0,-1000000000000,1000000000000),-1000000000000)))</f>
        <v>0</v>
      </c>
      <c r="F79" s="29" t="n">
        <f aca="false">MAX(0,IF((INDEX(T2_Rente,4)+0.000005)&gt;Berekening!F10,(Berekening!F45-(INDEX(T2_Rente,4)+0.000005)*Berekening!F46)/(360*((INDEX(T2_Rente,4)+0.000005)-Berekening!F10)),IF((INDEX(T2_Rente,4)+0.000005)=Berekening!F10,IF(Berekening!F45-(INDEX(T2_Rente,4)+0.000005)*Berekening!F46&lt;=0,-1000000000000,1000000000000),-1000000000000)),IF((INDEX(T2_Rente,4)-0.005+0.000005)&lt;Berekening!F10,(Berekening!F45-(INDEX(T2_Rente,4)-0.005+0.000005)*Berekening!F46)/(360*((INDEX(T2_Rente,4)-0.005+0.000005)-Berekening!F10)),IF((INDEX(T2_Rente,4)-0.005+0.000005)=Berekening!F10,IF(Berekening!F45-(INDEX(T2_Rente,4)-0.005+0.000005)*Berekening!F46&gt;0,-1000000000000,1000000000000),-1000000000000)))</f>
        <v>0</v>
      </c>
      <c r="G79" s="29" t="n">
        <f aca="false">MAX(0,IF((INDEX(T2_Rente,4)+0.000005)&gt;Berekening!G10,(Berekening!G45-(INDEX(T2_Rente,4)+0.000005)*Berekening!G46)/(360*((INDEX(T2_Rente,4)+0.000005)-Berekening!G10)),IF((INDEX(T2_Rente,4)+0.000005)=Berekening!G10,IF(Berekening!G45-(INDEX(T2_Rente,4)+0.000005)*Berekening!G46&lt;=0,-1000000000000,1000000000000),-1000000000000)),IF((INDEX(T2_Rente,4)-0.005+0.000005)&lt;Berekening!G10,(Berekening!G45-(INDEX(T2_Rente,4)-0.005+0.000005)*Berekening!G46)/(360*((INDEX(T2_Rente,4)-0.005+0.000005)-Berekening!G10)),IF((INDEX(T2_Rente,4)-0.005+0.000005)=Berekening!G10,IF(Berekening!G45-(INDEX(T2_Rente,4)-0.005+0.000005)*Berekening!G46&gt;0,-1000000000000,1000000000000),-1000000000000)))</f>
        <v>-0</v>
      </c>
      <c r="H79" s="29" t="n">
        <f aca="false">MAX(0,IF((INDEX(T2_Rente,4)+0.000005)&gt;Berekening!H10,(Berekening!H45-(INDEX(T2_Rente,4)+0.000005)*Berekening!H46)/(360*((INDEX(T2_Rente,4)+0.000005)-Berekening!H10)),IF((INDEX(T2_Rente,4)+0.000005)=Berekening!H10,IF(Berekening!H45-(INDEX(T2_Rente,4)+0.000005)*Berekening!H46&lt;=0,-1000000000000,1000000000000),-1000000000000)),IF((INDEX(T2_Rente,4)-0.005+0.000005)&lt;Berekening!H10,(Berekening!H45-(INDEX(T2_Rente,4)-0.005+0.000005)*Berekening!H46)/(360*((INDEX(T2_Rente,4)-0.005+0.000005)-Berekening!H10)),IF((INDEX(T2_Rente,4)-0.005+0.000005)=Berekening!H10,IF(Berekening!H45-(INDEX(T2_Rente,4)-0.005+0.000005)*Berekening!H46&gt;0,-1000000000000,1000000000000),-1000000000000)))</f>
        <v>-0</v>
      </c>
      <c r="I79" s="29" t="n">
        <f aca="false">MAX(0,IF((INDEX(T2_Rente,4)+0.000005)&gt;Berekening!I10,(Berekening!I45-(INDEX(T2_Rente,4)+0.000005)*Berekening!I46)/(360*((INDEX(T2_Rente,4)+0.000005)-Berekening!I10)),IF((INDEX(T2_Rente,4)+0.000005)=Berekening!I10,IF(Berekening!I45-(INDEX(T2_Rente,4)+0.000005)*Berekening!I46&lt;=0,-1000000000000,1000000000000),-1000000000000)),IF((INDEX(T2_Rente,4)-0.005+0.000005)&lt;Berekening!I10,(Berekening!I45-(INDEX(T2_Rente,4)-0.005+0.000005)*Berekening!I46)/(360*((INDEX(T2_Rente,4)-0.005+0.000005)-Berekening!I10)),IF((INDEX(T2_Rente,4)-0.005+0.000005)=Berekening!I10,IF(Berekening!I45-(INDEX(T2_Rente,4)-0.005+0.000005)*Berekening!I46&gt;0,-1000000000000,1000000000000),-1000000000000)))</f>
        <v>-0</v>
      </c>
      <c r="J79" s="29" t="n">
        <f aca="false">MAX(0,IF((INDEX(T2_Rente,4)+0.000005)&gt;Berekening!J10,(Berekening!J45-(INDEX(T2_Rente,4)+0.000005)*Berekening!J46)/(360*((INDEX(T2_Rente,4)+0.000005)-Berekening!J10)),IF((INDEX(T2_Rente,4)+0.000005)=Berekening!J10,IF(Berekening!J45-(INDEX(T2_Rente,4)+0.000005)*Berekening!J46&lt;=0,-1000000000000,1000000000000),-1000000000000)),IF((INDEX(T2_Rente,4)-0.005+0.000005)&lt;Berekening!J10,(Berekening!J45-(INDEX(T2_Rente,4)-0.005+0.000005)*Berekening!J46)/(360*((INDEX(T2_Rente,4)-0.005+0.000005)-Berekening!J10)),IF((INDEX(T2_Rente,4)-0.005+0.000005)=Berekening!J10,IF(Berekening!J45-(INDEX(T2_Rente,4)-0.005+0.000005)*Berekening!J46&gt;0,-1000000000000,1000000000000),-1000000000000)))</f>
        <v>0</v>
      </c>
      <c r="K79" s="29" t="n">
        <f aca="false">MAX(0,IF((INDEX(T2_Rente,4)+0.000005)&gt;Berekening!K10,(Berekening!K45-(INDEX(T2_Rente,4)+0.000005)*Berekening!K46)/(360*((INDEX(T2_Rente,4)+0.000005)-Berekening!K10)),IF((INDEX(T2_Rente,4)+0.000005)=Berekening!K10,IF(Berekening!K45-(INDEX(T2_Rente,4)+0.000005)*Berekening!K46&lt;=0,-1000000000000,1000000000000),-1000000000000)),IF((INDEX(T2_Rente,4)-0.005+0.000005)&lt;Berekening!K10,(Berekening!K45-(INDEX(T2_Rente,4)-0.005+0.000005)*Berekening!K46)/(360*((INDEX(T2_Rente,4)-0.005+0.000005)-Berekening!K10)),IF((INDEX(T2_Rente,4)-0.005+0.000005)=Berekening!K10,IF(Berekening!K45-(INDEX(T2_Rente,4)-0.005+0.000005)*Berekening!K46&gt;0,-1000000000000,1000000000000),-1000000000000)))</f>
        <v>0</v>
      </c>
      <c r="L79" s="29" t="n">
        <f aca="false">MAX(0,IF((INDEX(T2_Rente,4)+0.000005)&gt;Berekening!L10,(Berekening!L45-(INDEX(T2_Rente,4)+0.000005)*Berekening!L46)/(360*((INDEX(T2_Rente,4)+0.000005)-Berekening!L10)),IF((INDEX(T2_Rente,4)+0.000005)=Berekening!L10,IF(Berekening!L45-(INDEX(T2_Rente,4)+0.000005)*Berekening!L46&lt;=0,-1000000000000,1000000000000),-1000000000000)),IF((INDEX(T2_Rente,4)-0.005+0.000005)&lt;Berekening!L10,(Berekening!L45-(INDEX(T2_Rente,4)-0.005+0.000005)*Berekening!L46)/(360*((INDEX(T2_Rente,4)-0.005+0.000005)-Berekening!L10)),IF((INDEX(T2_Rente,4)-0.005+0.000005)=Berekening!L10,IF(Berekening!L45-(INDEX(T2_Rente,4)-0.005+0.000005)*Berekening!L46&gt;0,-1000000000000,1000000000000),-1000000000000)))</f>
        <v>0</v>
      </c>
      <c r="M79" s="29" t="n">
        <f aca="false">MAX(0,IF((INDEX(T2_Rente,4)+0.000005)&gt;Berekening!M10,(Berekening!M45-(INDEX(T2_Rente,4)+0.000005)*Berekening!M46)/(360*((INDEX(T2_Rente,4)+0.000005)-Berekening!M10)),IF((INDEX(T2_Rente,4)+0.000005)=Berekening!M10,IF(Berekening!M45-(INDEX(T2_Rente,4)+0.000005)*Berekening!M46&lt;=0,-1000000000000,1000000000000),-1000000000000)),IF((INDEX(T2_Rente,4)-0.005+0.000005)&lt;Berekening!M10,(Berekening!M45-(INDEX(T2_Rente,4)-0.005+0.000005)*Berekening!M46)/(360*((INDEX(T2_Rente,4)-0.005+0.000005)-Berekening!M10)),IF((INDEX(T2_Rente,4)-0.005+0.000005)=Berekening!M10,IF(Berekening!M45-(INDEX(T2_Rente,4)-0.005+0.000005)*Berekening!M46&gt;0,-1000000000000,1000000000000),-1000000000000)))</f>
        <v>0</v>
      </c>
    </row>
    <row r="80" customFormat="false" ht="15" hidden="false" customHeight="false" outlineLevel="0" collapsed="false">
      <c r="A80" s="9" t="s">
        <v>309</v>
      </c>
      <c r="B80" s="19" t="s">
        <v>101</v>
      </c>
      <c r="C80" s="29" t="n">
        <f aca="false">MIN(1000000000000,IF((INDEX(T2_Rente,4)+0.000005)&lt;Berekening!C10,(Berekening!C45-(INDEX(T2_Rente,4)+0.000005)*Berekening!C46)/(360*((INDEX(T2_Rente,4)+0.000005)-Berekening!C10)),1000000000000),IF((INDEX(T2_Rente,4)-0.005+0.000005)&gt;Berekening!C10,(Berekening!C45-(INDEX(T2_Rente,4)-0.005+0.000005)*Berekening!C46)/(360*((INDEX(T2_Rente,4)-0.005+0.000005)-Berekening!C10)),1000000000000))</f>
        <v>-17437.9391305121</v>
      </c>
      <c r="D80" s="29" t="n">
        <f aca="false">MIN(1000000000000,IF((INDEX(T2_Rente,4)+0.000005)&lt;Berekening!D10,(Berekening!D45-(INDEX(T2_Rente,4)+0.000005)*Berekening!D46)/(360*((INDEX(T2_Rente,4)+0.000005)-Berekening!D10)),1000000000000),IF((INDEX(T2_Rente,4)-0.005+0.000005)&gt;Berekening!D10,(Berekening!D45-(INDEX(T2_Rente,4)-0.005+0.000005)*Berekening!D46)/(360*((INDEX(T2_Rente,4)-0.005+0.000005)-Berekening!D10)),1000000000000))</f>
        <v>-77679.6357176679</v>
      </c>
      <c r="E80" s="29" t="n">
        <f aca="false">MIN(1000000000000,IF((INDEX(T2_Rente,4)+0.000005)&lt;Berekening!E10,(Berekening!E45-(INDEX(T2_Rente,4)+0.000005)*Berekening!E46)/(360*((INDEX(T2_Rente,4)+0.000005)-Berekening!E10)),1000000000000),IF((INDEX(T2_Rente,4)-0.005+0.000005)&gt;Berekening!E10,(Berekening!E45-(INDEX(T2_Rente,4)-0.005+0.000005)*Berekening!E46)/(360*((INDEX(T2_Rente,4)-0.005+0.000005)-Berekening!E10)),1000000000000))</f>
        <v>-677957.738183486</v>
      </c>
      <c r="F80" s="29" t="n">
        <f aca="false">MIN(1000000000000,IF((INDEX(T2_Rente,4)+0.000005)&lt;Berekening!F10,(Berekening!F45-(INDEX(T2_Rente,4)+0.000005)*Berekening!F46)/(360*((INDEX(T2_Rente,4)+0.000005)-Berekening!F10)),1000000000000),IF((INDEX(T2_Rente,4)-0.005+0.000005)&gt;Berekening!F10,(Berekening!F45-(INDEX(T2_Rente,4)-0.005+0.000005)*Berekening!F46)/(360*((INDEX(T2_Rente,4)-0.005+0.000005)-Berekening!F10)),1000000000000))</f>
        <v>-14734.3826761691</v>
      </c>
      <c r="G80" s="29" t="n">
        <f aca="false">MIN(1000000000000,IF((INDEX(T2_Rente,4)+0.000005)&lt;Berekening!G10,(Berekening!G45-(INDEX(T2_Rente,4)+0.000005)*Berekening!G46)/(360*((INDEX(T2_Rente,4)+0.000005)-Berekening!G10)),1000000000000),IF((INDEX(T2_Rente,4)-0.005+0.000005)&gt;Berekening!G10,(Berekening!G45-(INDEX(T2_Rente,4)-0.005+0.000005)*Berekening!G46)/(360*((INDEX(T2_Rente,4)-0.005+0.000005)-Berekening!G10)),1000000000000))</f>
        <v>-0</v>
      </c>
      <c r="H80" s="29" t="n">
        <f aca="false">MIN(1000000000000,IF((INDEX(T2_Rente,4)+0.000005)&lt;Berekening!H10,(Berekening!H45-(INDEX(T2_Rente,4)+0.000005)*Berekening!H46)/(360*((INDEX(T2_Rente,4)+0.000005)-Berekening!H10)),1000000000000),IF((INDEX(T2_Rente,4)-0.005+0.000005)&gt;Berekening!H10,(Berekening!H45-(INDEX(T2_Rente,4)-0.005+0.000005)*Berekening!H46)/(360*((INDEX(T2_Rente,4)-0.005+0.000005)-Berekening!H10)),1000000000000))</f>
        <v>-0</v>
      </c>
      <c r="I80" s="29" t="n">
        <f aca="false">MIN(1000000000000,IF((INDEX(T2_Rente,4)+0.000005)&lt;Berekening!I10,(Berekening!I45-(INDEX(T2_Rente,4)+0.000005)*Berekening!I46)/(360*((INDEX(T2_Rente,4)+0.000005)-Berekening!I10)),1000000000000),IF((INDEX(T2_Rente,4)-0.005+0.000005)&gt;Berekening!I10,(Berekening!I45-(INDEX(T2_Rente,4)-0.005+0.000005)*Berekening!I46)/(360*((INDEX(T2_Rente,4)-0.005+0.000005)-Berekening!I10)),1000000000000))</f>
        <v>-0</v>
      </c>
      <c r="J80" s="29" t="n">
        <f aca="false">MIN(1000000000000,IF((INDEX(T2_Rente,4)+0.000005)&lt;Berekening!J10,(Berekening!J45-(INDEX(T2_Rente,4)+0.000005)*Berekening!J46)/(360*((INDEX(T2_Rente,4)+0.000005)-Berekening!J10)),1000000000000),IF((INDEX(T2_Rente,4)-0.005+0.000005)&gt;Berekening!J10,(Berekening!J45-(INDEX(T2_Rente,4)-0.005+0.000005)*Berekening!J46)/(360*((INDEX(T2_Rente,4)-0.005+0.000005)-Berekening!J10)),1000000000000))</f>
        <v>-17437.9391305121</v>
      </c>
      <c r="K80" s="29" t="n">
        <f aca="false">MIN(1000000000000,IF((INDEX(T2_Rente,4)+0.000005)&lt;Berekening!K10,(Berekening!K45-(INDEX(T2_Rente,4)+0.000005)*Berekening!K46)/(360*((INDEX(T2_Rente,4)+0.000005)-Berekening!K10)),1000000000000),IF((INDEX(T2_Rente,4)-0.005+0.000005)&gt;Berekening!K10,(Berekening!K45-(INDEX(T2_Rente,4)-0.005+0.000005)*Berekening!K46)/(360*((INDEX(T2_Rente,4)-0.005+0.000005)-Berekening!K10)),1000000000000))</f>
        <v>-561498.470948012</v>
      </c>
      <c r="L80" s="29" t="n">
        <f aca="false">MIN(1000000000000,IF((INDEX(T2_Rente,4)+0.000005)&lt;Berekening!L10,(Berekening!L45-(INDEX(T2_Rente,4)+0.000005)*Berekening!L46)/(360*((INDEX(T2_Rente,4)+0.000005)-Berekening!L10)),1000000000000),IF((INDEX(T2_Rente,4)-0.005+0.000005)&gt;Berekening!L10,(Berekening!L45-(INDEX(T2_Rente,4)-0.005+0.000005)*Berekening!L46)/(360*((INDEX(T2_Rente,4)-0.005+0.000005)-Berekening!L10)),1000000000000))</f>
        <v>-17437.9391305121</v>
      </c>
      <c r="M80" s="29" t="n">
        <f aca="false">MIN(1000000000000,IF((INDEX(T2_Rente,4)+0.000005)&lt;Berekening!M10,(Berekening!M45-(INDEX(T2_Rente,4)+0.000005)*Berekening!M46)/(360*((INDEX(T2_Rente,4)+0.000005)-Berekening!M10)),1000000000000),IF((INDEX(T2_Rente,4)-0.005+0.000005)&gt;Berekening!M10,(Berekening!M45-(INDEX(T2_Rente,4)-0.005+0.000005)*Berekening!M46)/(360*((INDEX(T2_Rente,4)-0.005+0.000005)-Berekening!M10)),1000000000000))</f>
        <v>-17437.9391305121</v>
      </c>
    </row>
    <row r="81" customFormat="false" ht="15" hidden="false" customHeight="false" outlineLevel="0" collapsed="false">
      <c r="A81" s="9" t="s">
        <v>310</v>
      </c>
      <c r="B81" s="19" t="s">
        <v>101</v>
      </c>
      <c r="C81" s="29" t="n">
        <f aca="false">IF(C79&gt;C80,-1,IF(C78&lt;C79-0.000000001,-1,IF(C78&gt;C80,MAX(C79,C80-1),C78)))</f>
        <v>-1</v>
      </c>
      <c r="D81" s="29" t="n">
        <f aca="false">IF(D79&gt;D80,-1,IF(D78&lt;D79-0.000000001,-1,IF(D78&gt;D80,MAX(D79,D80-1),D78)))</f>
        <v>-1</v>
      </c>
      <c r="E81" s="29" t="n">
        <f aca="false">IF(E79&gt;E80,-1,IF(E78&lt;E79-0.000000001,-1,IF(E78&gt;E80,MAX(E79,E80-1),E78)))</f>
        <v>-1</v>
      </c>
      <c r="F81" s="29" t="n">
        <f aca="false">IF(F79&gt;F80,-1,IF(F78&lt;F79-0.000000001,-1,IF(F78&gt;F80,MAX(F79,F80-1),F78)))</f>
        <v>-1</v>
      </c>
      <c r="G81" s="29" t="n">
        <f aca="false">IF(G79&gt;G80,-1,IF(G78&lt;G79-0.000000001,-1,IF(G78&gt;G80,MAX(G79,G80-1),G78)))</f>
        <v>-0</v>
      </c>
      <c r="H81" s="29" t="n">
        <f aca="false">IF(H79&gt;H80,-1,IF(H78&lt;H79-0.000000001,-1,IF(H78&gt;H80,MAX(H79,H80-1),H78)))</f>
        <v>-0</v>
      </c>
      <c r="I81" s="29" t="n">
        <f aca="false">IF(I79&gt;I80,-1,IF(I78&lt;I79-0.000000001,-1,IF(I78&gt;I80,MAX(I79,I80-1),I78)))</f>
        <v>-0</v>
      </c>
      <c r="J81" s="29" t="n">
        <f aca="false">IF(J79&gt;J80,-1,IF(J78&lt;J79-0.000000001,-1,IF(J78&gt;J80,MAX(J79,J80-1),J78)))</f>
        <v>-1</v>
      </c>
      <c r="K81" s="29" t="n">
        <f aca="false">IF(K79&gt;K80,-1,IF(K78&lt;K79-0.000000001,-1,IF(K78&gt;K80,MAX(K79,K80-1),K78)))</f>
        <v>-1</v>
      </c>
      <c r="L81" s="29" t="n">
        <f aca="false">IF(L79&gt;L80,-1,IF(L78&lt;L79-0.000000001,-1,IF(L78&gt;L80,MAX(L79,L80-1),L78)))</f>
        <v>-1</v>
      </c>
      <c r="M81" s="29" t="n">
        <f aca="false">IF(M79&gt;M80,-1,IF(M78&lt;M79-0.000000001,-1,IF(M78&gt;M80,MAX(M79,M80-1),M78)))</f>
        <v>-1</v>
      </c>
    </row>
    <row r="82" customFormat="false" ht="15" hidden="false" customHeight="false" outlineLevel="0" collapsed="false">
      <c r="A82" s="9" t="s">
        <v>311</v>
      </c>
      <c r="B82" s="19" t="s">
        <v>157</v>
      </c>
      <c r="C82" s="38" t="n">
        <f aca="false">INDEX(T2_Tabel,Berekening!C95,5)+(Berekening!C94-INDEX(T2_Inkomen,Berekening!C95))/(INDEX(T2_Inkomen,Berekening!C95+1)-INDEX(T2_Inkomen,Berekening!C95))*(INDEX(T2_Tabel,Berekening!C95+1,5)-INDEX(T2_Tabel,Berekening!C95,5))</f>
        <v>0.338</v>
      </c>
      <c r="D82" s="38" t="n">
        <f aca="false">INDEX(T2_Tabel,Berekening!D95,5)+(Berekening!D94-INDEX(T2_Inkomen,Berekening!D95))/(INDEX(T2_Inkomen,Berekening!D95+1)-INDEX(T2_Inkomen,Berekening!D95))*(INDEX(T2_Tabel,Berekening!D95+1,5)-INDEX(T2_Tabel,Berekening!D95,5))</f>
        <v>0.338</v>
      </c>
      <c r="E82" s="38" t="n">
        <f aca="false">INDEX(T2_Tabel,Berekening!E95,5)+(Berekening!E94-INDEX(T2_Inkomen,Berekening!E95))/(INDEX(T2_Inkomen,Berekening!E95+1)-INDEX(T2_Inkomen,Berekening!E95))*(INDEX(T2_Tabel,Berekening!E95+1,5)-INDEX(T2_Tabel,Berekening!E95,5))</f>
        <v>0.338</v>
      </c>
      <c r="F82" s="38" t="n">
        <f aca="false">INDEX(T2_Tabel,Berekening!F95,5)+(Berekening!F94-INDEX(T2_Inkomen,Berekening!F95))/(INDEX(T2_Inkomen,Berekening!F95+1)-INDEX(T2_Inkomen,Berekening!F95))*(INDEX(T2_Tabel,Berekening!F95+1,5)-INDEX(T2_Tabel,Berekening!F95,5))</f>
        <v>0.338</v>
      </c>
      <c r="G82" s="38" t="n">
        <f aca="false">INDEX(T2_Tabel,Berekening!G95,5)+(Berekening!G94-INDEX(T2_Inkomen,Berekening!G95))/(INDEX(T2_Inkomen,Berekening!G95+1)-INDEX(T2_Inkomen,Berekening!G95))*(INDEX(T2_Tabel,Berekening!G95+1,5)-INDEX(T2_Tabel,Berekening!G95,5))</f>
        <v>0.31</v>
      </c>
      <c r="H82" s="38" t="n">
        <f aca="false">INDEX(T2_Tabel,Berekening!H95,5)+(Berekening!H94-INDEX(T2_Inkomen,Berekening!H95))/(INDEX(T2_Inkomen,Berekening!H95+1)-INDEX(T2_Inkomen,Berekening!H95))*(INDEX(T2_Tabel,Berekening!H95+1,5)-INDEX(T2_Tabel,Berekening!H95,5))</f>
        <v>0.338</v>
      </c>
      <c r="I82" s="38" t="n">
        <f aca="false">INDEX(T2_Tabel,Berekening!I95,5)+(Berekening!I94-INDEX(T2_Inkomen,Berekening!I95))/(INDEX(T2_Inkomen,Berekening!I95+1)-INDEX(T2_Inkomen,Berekening!I95))*(INDEX(T2_Tabel,Berekening!I95+1,5)-INDEX(T2_Tabel,Berekening!I95,5))</f>
        <v>0.338</v>
      </c>
      <c r="J82" s="38" t="n">
        <f aca="false">INDEX(T2_Tabel,Berekening!J95,5)+(Berekening!J94-INDEX(T2_Inkomen,Berekening!J95))/(INDEX(T2_Inkomen,Berekening!J95+1)-INDEX(T2_Inkomen,Berekening!J95))*(INDEX(T2_Tabel,Berekening!J95+1,5)-INDEX(T2_Tabel,Berekening!J95,5))</f>
        <v>0.338</v>
      </c>
      <c r="K82" s="38" t="n">
        <f aca="false">INDEX(T2_Tabel,Berekening!K95,5)+(Berekening!K94-INDEX(T2_Inkomen,Berekening!K95))/(INDEX(T2_Inkomen,Berekening!K95+1)-INDEX(T2_Inkomen,Berekening!K95))*(INDEX(T2_Tabel,Berekening!K95+1,5)-INDEX(T2_Tabel,Berekening!K95,5))</f>
        <v>0.338</v>
      </c>
      <c r="L82" s="38" t="n">
        <f aca="false">INDEX(T2_Tabel,Berekening!L95,5)+(Berekening!L94-INDEX(T2_Inkomen,Berekening!L95))/(INDEX(T2_Inkomen,Berekening!L95+1)-INDEX(T2_Inkomen,Berekening!L95))*(INDEX(T2_Tabel,Berekening!L95+1,5)-INDEX(T2_Tabel,Berekening!L95,5))</f>
        <v>0.338</v>
      </c>
      <c r="M82" s="38" t="n">
        <f aca="false">INDEX(T2_Tabel,Berekening!M95,5)+(Berekening!M94-INDEX(T2_Inkomen,Berekening!M95))/(INDEX(T2_Inkomen,Berekening!M95+1)-INDEX(T2_Inkomen,Berekening!M95))*(INDEX(T2_Tabel,Berekening!M95+1,5)-INDEX(T2_Tabel,Berekening!M95,5))</f>
        <v>0.338</v>
      </c>
    </row>
    <row r="83" customFormat="false" ht="15" hidden="false" customHeight="false" outlineLevel="0" collapsed="false">
      <c r="A83" s="9" t="s">
        <v>312</v>
      </c>
      <c r="B83" s="19" t="s">
        <v>101</v>
      </c>
      <c r="C83" s="29" t="n">
        <f aca="false">MAX(0,(C82*C60/12-Berekening!C18-Berekening!C44)*Berekening!C11-Berekening!C75+C61)</f>
        <v>559995.889138054</v>
      </c>
      <c r="D83" s="29" t="n">
        <f aca="false">MAX(0,(D82*D60/12-Berekening!D18-Berekening!D44)*Berekening!D11-Berekening!D75+D61)</f>
        <v>589047.441091863</v>
      </c>
      <c r="E83" s="29" t="n">
        <f aca="false">MAX(0,(E82*E60/12-Berekening!E18-Berekening!E44)*Berekening!E11-Berekening!E75+E61)</f>
        <v>437348.345799519</v>
      </c>
      <c r="F83" s="29" t="n">
        <f aca="false">MAX(0,(F82*F60/12-Berekening!F18-Berekening!F44)*Berekening!F11-Berekening!F75+F61)</f>
        <v>540750.192464159</v>
      </c>
      <c r="G83" s="29" t="n">
        <f aca="false">MAX(0,(G82*G60/12-Berekening!G18-Berekening!G44)*Berekening!G11-Berekening!G75+G61)</f>
        <v>321206.470069413</v>
      </c>
      <c r="H83" s="29" t="n">
        <f aca="false">MAX(0,(H82*H60/12-Berekening!H18-Berekening!H44)*Berekening!H11-Berekening!H75+H61)</f>
        <v>795465.243040284</v>
      </c>
      <c r="I83" s="29" t="n">
        <f aca="false">MAX(0,(I82*I60/12-Berekening!I18-Berekening!I44)*Berekening!I11-Berekening!I75+I61)</f>
        <v>1112767.79591174</v>
      </c>
      <c r="J83" s="29" t="n">
        <f aca="false">MAX(0,(J82*J60/12-Berekening!J18-Berekening!J44)*Berekening!J11-Berekening!J75+J61)</f>
        <v>173180.916994343</v>
      </c>
      <c r="K83" s="29" t="n">
        <f aca="false">MAX(0,(K82*K60/12-Berekening!K18-Berekening!K44)*Berekening!K11-Berekening!K75+K61)</f>
        <v>349613.424176538</v>
      </c>
      <c r="L83" s="29" t="n">
        <f aca="false">MAX(0,(L82*L60/12-Berekening!L18-Berekening!L44)*Berekening!L11-Berekening!L75+L61)</f>
        <v>0</v>
      </c>
      <c r="M83" s="29" t="n">
        <f aca="false">MAX(0,(M82*M60/12-Berekening!M18-Berekening!M44)*Berekening!M11-Berekening!M75+M61)</f>
        <v>559995.889138054</v>
      </c>
    </row>
    <row r="84" customFormat="false" ht="15" hidden="false" customHeight="false" outlineLevel="0" collapsed="false">
      <c r="A84" s="9" t="s">
        <v>313</v>
      </c>
      <c r="B84" s="19" t="s">
        <v>101</v>
      </c>
      <c r="C84" s="29" t="n">
        <f aca="false">MAX(0,IF((INDEX(T2_Rente,5)+0.000005)&gt;Berekening!C10,(Berekening!C45-(INDEX(T2_Rente,5)+0.000005)*Berekening!C46)/(360*((INDEX(T2_Rente,5)+0.000005)-Berekening!C10)),IF((INDEX(T2_Rente,5)+0.000005)=Berekening!C10,IF(Berekening!C45-(INDEX(T2_Rente,5)+0.000005)*Berekening!C46&lt;=0,-1000000000000,1000000000000),-1000000000000)),IF((INDEX(T2_Rente,5)-0.005+0.000005)&lt;Berekening!C10,(Berekening!C45-(INDEX(T2_Rente,5)-0.005+0.000005)*Berekening!C46)/(360*((INDEX(T2_Rente,5)-0.005+0.000005)-Berekening!C10)),IF((INDEX(T2_Rente,5)-0.005+0.000005)=Berekening!C10,IF(Berekening!C45-(INDEX(T2_Rente,5)-0.005+0.000005)*Berekening!C46&gt;0,-1000000000000,1000000000000),-1000000000000)))</f>
        <v>0</v>
      </c>
      <c r="D84" s="29" t="n">
        <f aca="false">MAX(0,IF((INDEX(T2_Rente,5)+0.000005)&gt;Berekening!D10,(Berekening!D45-(INDEX(T2_Rente,5)+0.000005)*Berekening!D46)/(360*((INDEX(T2_Rente,5)+0.000005)-Berekening!D10)),IF((INDEX(T2_Rente,5)+0.000005)=Berekening!D10,IF(Berekening!D45-(INDEX(T2_Rente,5)+0.000005)*Berekening!D46&lt;=0,-1000000000000,1000000000000),-1000000000000)),IF((INDEX(T2_Rente,5)-0.005+0.000005)&lt;Berekening!D10,(Berekening!D45-(INDEX(T2_Rente,5)-0.005+0.000005)*Berekening!D46)/(360*((INDEX(T2_Rente,5)-0.005+0.000005)-Berekening!D10)),IF((INDEX(T2_Rente,5)-0.005+0.000005)=Berekening!D10,IF(Berekening!D45-(INDEX(T2_Rente,5)-0.005+0.000005)*Berekening!D46&gt;0,-1000000000000,1000000000000),-1000000000000)))</f>
        <v>0</v>
      </c>
      <c r="E84" s="29" t="n">
        <f aca="false">MAX(0,IF((INDEX(T2_Rente,5)+0.000005)&gt;Berekening!E10,(Berekening!E45-(INDEX(T2_Rente,5)+0.000005)*Berekening!E46)/(360*((INDEX(T2_Rente,5)+0.000005)-Berekening!E10)),IF((INDEX(T2_Rente,5)+0.000005)=Berekening!E10,IF(Berekening!E45-(INDEX(T2_Rente,5)+0.000005)*Berekening!E46&lt;=0,-1000000000000,1000000000000),-1000000000000)),IF((INDEX(T2_Rente,5)-0.005+0.000005)&lt;Berekening!E10,(Berekening!E45-(INDEX(T2_Rente,5)-0.005+0.000005)*Berekening!E46)/(360*((INDEX(T2_Rente,5)-0.005+0.000005)-Berekening!E10)),IF((INDEX(T2_Rente,5)-0.005+0.000005)=Berekening!E10,IF(Berekening!E45-(INDEX(T2_Rente,5)-0.005+0.000005)*Berekening!E46&gt;0,-1000000000000,1000000000000),-1000000000000)))</f>
        <v>0</v>
      </c>
      <c r="F84" s="29" t="n">
        <f aca="false">MAX(0,IF((INDEX(T2_Rente,5)+0.000005)&gt;Berekening!F10,(Berekening!F45-(INDEX(T2_Rente,5)+0.000005)*Berekening!F46)/(360*((INDEX(T2_Rente,5)+0.000005)-Berekening!F10)),IF((INDEX(T2_Rente,5)+0.000005)=Berekening!F10,IF(Berekening!F45-(INDEX(T2_Rente,5)+0.000005)*Berekening!F46&lt;=0,-1000000000000,1000000000000),-1000000000000)),IF((INDEX(T2_Rente,5)-0.005+0.000005)&lt;Berekening!F10,(Berekening!F45-(INDEX(T2_Rente,5)-0.005+0.000005)*Berekening!F46)/(360*((INDEX(T2_Rente,5)-0.005+0.000005)-Berekening!F10)),IF((INDEX(T2_Rente,5)-0.005+0.000005)=Berekening!F10,IF(Berekening!F45-(INDEX(T2_Rente,5)-0.005+0.000005)*Berekening!F46&gt;0,-1000000000000,1000000000000),-1000000000000)))</f>
        <v>0</v>
      </c>
      <c r="G84" s="29" t="n">
        <f aca="false">MAX(0,IF((INDEX(T2_Rente,5)+0.000005)&gt;Berekening!G10,(Berekening!G45-(INDEX(T2_Rente,5)+0.000005)*Berekening!G46)/(360*((INDEX(T2_Rente,5)+0.000005)-Berekening!G10)),IF((INDEX(T2_Rente,5)+0.000005)=Berekening!G10,IF(Berekening!G45-(INDEX(T2_Rente,5)+0.000005)*Berekening!G46&lt;=0,-1000000000000,1000000000000),-1000000000000)),IF((INDEX(T2_Rente,5)-0.005+0.000005)&lt;Berekening!G10,(Berekening!G45-(INDEX(T2_Rente,5)-0.005+0.000005)*Berekening!G46)/(360*((INDEX(T2_Rente,5)-0.005+0.000005)-Berekening!G10)),IF((INDEX(T2_Rente,5)-0.005+0.000005)=Berekening!G10,IF(Berekening!G45-(INDEX(T2_Rente,5)-0.005+0.000005)*Berekening!G46&gt;0,-1000000000000,1000000000000),-1000000000000)))</f>
        <v>-0</v>
      </c>
      <c r="H84" s="29" t="n">
        <f aca="false">MAX(0,IF((INDEX(T2_Rente,5)+0.000005)&gt;Berekening!H10,(Berekening!H45-(INDEX(T2_Rente,5)+0.000005)*Berekening!H46)/(360*((INDEX(T2_Rente,5)+0.000005)-Berekening!H10)),IF((INDEX(T2_Rente,5)+0.000005)=Berekening!H10,IF(Berekening!H45-(INDEX(T2_Rente,5)+0.000005)*Berekening!H46&lt;=0,-1000000000000,1000000000000),-1000000000000)),IF((INDEX(T2_Rente,5)-0.005+0.000005)&lt;Berekening!H10,(Berekening!H45-(INDEX(T2_Rente,5)-0.005+0.000005)*Berekening!H46)/(360*((INDEX(T2_Rente,5)-0.005+0.000005)-Berekening!H10)),IF((INDEX(T2_Rente,5)-0.005+0.000005)=Berekening!H10,IF(Berekening!H45-(INDEX(T2_Rente,5)-0.005+0.000005)*Berekening!H46&gt;0,-1000000000000,1000000000000),-1000000000000)))</f>
        <v>-0</v>
      </c>
      <c r="I84" s="29" t="n">
        <f aca="false">MAX(0,IF((INDEX(T2_Rente,5)+0.000005)&gt;Berekening!I10,(Berekening!I45-(INDEX(T2_Rente,5)+0.000005)*Berekening!I46)/(360*((INDEX(T2_Rente,5)+0.000005)-Berekening!I10)),IF((INDEX(T2_Rente,5)+0.000005)=Berekening!I10,IF(Berekening!I45-(INDEX(T2_Rente,5)+0.000005)*Berekening!I46&lt;=0,-1000000000000,1000000000000),-1000000000000)),IF((INDEX(T2_Rente,5)-0.005+0.000005)&lt;Berekening!I10,(Berekening!I45-(INDEX(T2_Rente,5)-0.005+0.000005)*Berekening!I46)/(360*((INDEX(T2_Rente,5)-0.005+0.000005)-Berekening!I10)),IF((INDEX(T2_Rente,5)-0.005+0.000005)=Berekening!I10,IF(Berekening!I45-(INDEX(T2_Rente,5)-0.005+0.000005)*Berekening!I46&gt;0,-1000000000000,1000000000000),-1000000000000)))</f>
        <v>-0</v>
      </c>
      <c r="J84" s="29" t="n">
        <f aca="false">MAX(0,IF((INDEX(T2_Rente,5)+0.000005)&gt;Berekening!J10,(Berekening!J45-(INDEX(T2_Rente,5)+0.000005)*Berekening!J46)/(360*((INDEX(T2_Rente,5)+0.000005)-Berekening!J10)),IF((INDEX(T2_Rente,5)+0.000005)=Berekening!J10,IF(Berekening!J45-(INDEX(T2_Rente,5)+0.000005)*Berekening!J46&lt;=0,-1000000000000,1000000000000),-1000000000000)),IF((INDEX(T2_Rente,5)-0.005+0.000005)&lt;Berekening!J10,(Berekening!J45-(INDEX(T2_Rente,5)-0.005+0.000005)*Berekening!J46)/(360*((INDEX(T2_Rente,5)-0.005+0.000005)-Berekening!J10)),IF((INDEX(T2_Rente,5)-0.005+0.000005)=Berekening!J10,IF(Berekening!J45-(INDEX(T2_Rente,5)-0.005+0.000005)*Berekening!J46&gt;0,-1000000000000,1000000000000),-1000000000000)))</f>
        <v>0</v>
      </c>
      <c r="K84" s="29" t="n">
        <f aca="false">MAX(0,IF((INDEX(T2_Rente,5)+0.000005)&gt;Berekening!K10,(Berekening!K45-(INDEX(T2_Rente,5)+0.000005)*Berekening!K46)/(360*((INDEX(T2_Rente,5)+0.000005)-Berekening!K10)),IF((INDEX(T2_Rente,5)+0.000005)=Berekening!K10,IF(Berekening!K45-(INDEX(T2_Rente,5)+0.000005)*Berekening!K46&lt;=0,-1000000000000,1000000000000),-1000000000000)),IF((INDEX(T2_Rente,5)-0.005+0.000005)&lt;Berekening!K10,(Berekening!K45-(INDEX(T2_Rente,5)-0.005+0.000005)*Berekening!K46)/(360*((INDEX(T2_Rente,5)-0.005+0.000005)-Berekening!K10)),IF((INDEX(T2_Rente,5)-0.005+0.000005)=Berekening!K10,IF(Berekening!K45-(INDEX(T2_Rente,5)-0.005+0.000005)*Berekening!K46&gt;0,-1000000000000,1000000000000),-1000000000000)))</f>
        <v>0</v>
      </c>
      <c r="L84" s="29" t="n">
        <f aca="false">MAX(0,IF((INDEX(T2_Rente,5)+0.000005)&gt;Berekening!L10,(Berekening!L45-(INDEX(T2_Rente,5)+0.000005)*Berekening!L46)/(360*((INDEX(T2_Rente,5)+0.000005)-Berekening!L10)),IF((INDEX(T2_Rente,5)+0.000005)=Berekening!L10,IF(Berekening!L45-(INDEX(T2_Rente,5)+0.000005)*Berekening!L46&lt;=0,-1000000000000,1000000000000),-1000000000000)),IF((INDEX(T2_Rente,5)-0.005+0.000005)&lt;Berekening!L10,(Berekening!L45-(INDEX(T2_Rente,5)-0.005+0.000005)*Berekening!L46)/(360*((INDEX(T2_Rente,5)-0.005+0.000005)-Berekening!L10)),IF((INDEX(T2_Rente,5)-0.005+0.000005)=Berekening!L10,IF(Berekening!L45-(INDEX(T2_Rente,5)-0.005+0.000005)*Berekening!L46&gt;0,-1000000000000,1000000000000),-1000000000000)))</f>
        <v>0</v>
      </c>
      <c r="M84" s="29" t="n">
        <f aca="false">MAX(0,IF((INDEX(T2_Rente,5)+0.000005)&gt;Berekening!M10,(Berekening!M45-(INDEX(T2_Rente,5)+0.000005)*Berekening!M46)/(360*((INDEX(T2_Rente,5)+0.000005)-Berekening!M10)),IF((INDEX(T2_Rente,5)+0.000005)=Berekening!M10,IF(Berekening!M45-(INDEX(T2_Rente,5)+0.000005)*Berekening!M46&lt;=0,-1000000000000,1000000000000),-1000000000000)),IF((INDEX(T2_Rente,5)-0.005+0.000005)&lt;Berekening!M10,(Berekening!M45-(INDEX(T2_Rente,5)-0.005+0.000005)*Berekening!M46)/(360*((INDEX(T2_Rente,5)-0.005+0.000005)-Berekening!M10)),IF((INDEX(T2_Rente,5)-0.005+0.000005)=Berekening!M10,IF(Berekening!M45-(INDEX(T2_Rente,5)-0.005+0.000005)*Berekening!M46&gt;0,-1000000000000,1000000000000),-1000000000000)))</f>
        <v>0</v>
      </c>
    </row>
    <row r="85" customFormat="false" ht="15" hidden="false" customHeight="false" outlineLevel="0" collapsed="false">
      <c r="A85" s="9" t="s">
        <v>314</v>
      </c>
      <c r="B85" s="19" t="s">
        <v>101</v>
      </c>
      <c r="C85" s="29" t="n">
        <f aca="false">MIN(1000000000000,IF((INDEX(T2_Rente,5)+0.000005)&lt;Berekening!C10,(Berekening!C45-(INDEX(T2_Rente,5)+0.000005)*Berekening!C46)/(360*((INDEX(T2_Rente,5)+0.000005)-Berekening!C10)),1000000000000),IF((INDEX(T2_Rente,5)-0.005+0.000005)&gt;Berekening!C10,(Berekening!C45-(INDEX(T2_Rente,5)-0.005+0.000005)*Berekening!C46)/(360*((INDEX(T2_Rente,5)-0.005+0.000005)-Berekening!C10)),1000000000000))</f>
        <v>216025.731404512</v>
      </c>
      <c r="D85" s="29" t="n">
        <f aca="false">MIN(1000000000000,IF((INDEX(T2_Rente,5)+0.000005)&lt;Berekening!D10,(Berekening!D45-(INDEX(T2_Rente,5)+0.000005)*Berekening!D46)/(360*((INDEX(T2_Rente,5)+0.000005)-Berekening!D10)),1000000000000),IF((INDEX(T2_Rente,5)-0.005+0.000005)&gt;Berekening!D10,(Berekening!D45-(INDEX(T2_Rente,5)-0.005+0.000005)*Berekening!D46)/(360*((INDEX(T2_Rente,5)-0.005+0.000005)-Berekening!D10)),1000000000000))</f>
        <v>151858.100424548</v>
      </c>
      <c r="E85" s="29" t="n">
        <f aca="false">MIN(1000000000000,IF((INDEX(T2_Rente,5)+0.000005)&lt;Berekening!E10,(Berekening!E45-(INDEX(T2_Rente,5)+0.000005)*Berekening!E46)/(360*((INDEX(T2_Rente,5)+0.000005)-Berekening!E10)),1000000000000),IF((INDEX(T2_Rente,5)-0.005+0.000005)&gt;Berekening!E10,(Berekening!E45-(INDEX(T2_Rente,5)-0.005+0.000005)*Berekening!E46)/(360*((INDEX(T2_Rente,5)-0.005+0.000005)-Berekening!E10)),1000000000000))</f>
        <v>-722140.052958666</v>
      </c>
      <c r="F85" s="29" t="n">
        <f aca="false">MIN(1000000000000,IF((INDEX(T2_Rente,5)+0.000005)&lt;Berekening!F10,(Berekening!F45-(INDEX(T2_Rente,5)+0.000005)*Berekening!F46)/(360*((INDEX(T2_Rente,5)+0.000005)-Berekening!F10)),1000000000000),IF((INDEX(T2_Rente,5)-0.005+0.000005)&gt;Berekening!F10,(Berekening!F45-(INDEX(T2_Rente,5)-0.005+0.000005)*Berekening!F46)/(360*((INDEX(T2_Rente,5)-0.005+0.000005)-Berekening!F10)),1000000000000))</f>
        <v>171365.52684606</v>
      </c>
      <c r="G85" s="29" t="n">
        <f aca="false">MIN(1000000000000,IF((INDEX(T2_Rente,5)+0.000005)&lt;Berekening!G10,(Berekening!G45-(INDEX(T2_Rente,5)+0.000005)*Berekening!G46)/(360*((INDEX(T2_Rente,5)+0.000005)-Berekening!G10)),1000000000000),IF((INDEX(T2_Rente,5)-0.005+0.000005)&gt;Berekening!G10,(Berekening!G45-(INDEX(T2_Rente,5)-0.005+0.000005)*Berekening!G46)/(360*((INDEX(T2_Rente,5)-0.005+0.000005)-Berekening!G10)),1000000000000))</f>
        <v>-0</v>
      </c>
      <c r="H85" s="29" t="n">
        <f aca="false">MIN(1000000000000,IF((INDEX(T2_Rente,5)+0.000005)&lt;Berekening!H10,(Berekening!H45-(INDEX(T2_Rente,5)+0.000005)*Berekening!H46)/(360*((INDEX(T2_Rente,5)+0.000005)-Berekening!H10)),1000000000000),IF((INDEX(T2_Rente,5)-0.005+0.000005)&gt;Berekening!H10,(Berekening!H45-(INDEX(T2_Rente,5)-0.005+0.000005)*Berekening!H46)/(360*((INDEX(T2_Rente,5)-0.005+0.000005)-Berekening!H10)),1000000000000))</f>
        <v>-0</v>
      </c>
      <c r="I85" s="29" t="n">
        <f aca="false">MIN(1000000000000,IF((INDEX(T2_Rente,5)+0.000005)&lt;Berekening!I10,(Berekening!I45-(INDEX(T2_Rente,5)+0.000005)*Berekening!I46)/(360*((INDEX(T2_Rente,5)+0.000005)-Berekening!I10)),1000000000000),IF((INDEX(T2_Rente,5)-0.005+0.000005)&gt;Berekening!I10,(Berekening!I45-(INDEX(T2_Rente,5)-0.005+0.000005)*Berekening!I46)/(360*((INDEX(T2_Rente,5)-0.005+0.000005)-Berekening!I10)),1000000000000))</f>
        <v>-0</v>
      </c>
      <c r="J85" s="29" t="n">
        <f aca="false">MIN(1000000000000,IF((INDEX(T2_Rente,5)+0.000005)&lt;Berekening!J10,(Berekening!J45-(INDEX(T2_Rente,5)+0.000005)*Berekening!J46)/(360*((INDEX(T2_Rente,5)+0.000005)-Berekening!J10)),1000000000000),IF((INDEX(T2_Rente,5)-0.005+0.000005)&gt;Berekening!J10,(Berekening!J45-(INDEX(T2_Rente,5)-0.005+0.000005)*Berekening!J46)/(360*((INDEX(T2_Rente,5)-0.005+0.000005)-Berekening!J10)),1000000000000))</f>
        <v>216025.731404512</v>
      </c>
      <c r="K85" s="29" t="n">
        <f aca="false">MIN(1000000000000,IF((INDEX(T2_Rente,5)+0.000005)&lt;Berekening!K10,(Berekening!K45-(INDEX(T2_Rente,5)+0.000005)*Berekening!K46)/(360*((INDEX(T2_Rente,5)+0.000005)-Berekening!K10)),1000000000000),IF((INDEX(T2_Rente,5)-0.005+0.000005)&gt;Berekening!K10,(Berekening!K45-(INDEX(T2_Rente,5)-0.005+0.000005)*Berekening!K46)/(360*((INDEX(T2_Rente,5)-0.005+0.000005)-Berekening!K10)),1000000000000))</f>
        <v>-598091.168091168</v>
      </c>
      <c r="L85" s="29" t="n">
        <f aca="false">MIN(1000000000000,IF((INDEX(T2_Rente,5)+0.000005)&lt;Berekening!L10,(Berekening!L45-(INDEX(T2_Rente,5)+0.000005)*Berekening!L46)/(360*((INDEX(T2_Rente,5)+0.000005)-Berekening!L10)),1000000000000),IF((INDEX(T2_Rente,5)-0.005+0.000005)&gt;Berekening!L10,(Berekening!L45-(INDEX(T2_Rente,5)-0.005+0.000005)*Berekening!L46)/(360*((INDEX(T2_Rente,5)-0.005+0.000005)-Berekening!L10)),1000000000000))</f>
        <v>216025.731404512</v>
      </c>
      <c r="M85" s="29" t="n">
        <f aca="false">MIN(1000000000000,IF((INDEX(T2_Rente,5)+0.000005)&lt;Berekening!M10,(Berekening!M45-(INDEX(T2_Rente,5)+0.000005)*Berekening!M46)/(360*((INDEX(T2_Rente,5)+0.000005)-Berekening!M10)),1000000000000),IF((INDEX(T2_Rente,5)-0.005+0.000005)&gt;Berekening!M10,(Berekening!M45-(INDEX(T2_Rente,5)-0.005+0.000005)*Berekening!M46)/(360*((INDEX(T2_Rente,5)-0.005+0.000005)-Berekening!M10)),1000000000000))</f>
        <v>216025.731404512</v>
      </c>
    </row>
    <row r="86" customFormat="false" ht="15" hidden="false" customHeight="false" outlineLevel="0" collapsed="false">
      <c r="A86" s="9" t="s">
        <v>315</v>
      </c>
      <c r="B86" s="19" t="s">
        <v>101</v>
      </c>
      <c r="C86" s="29" t="n">
        <f aca="false">IF(C84&gt;C85,-1,IF(C83&lt;C84-0.000000001,-1,IF(C83&gt;C85,MAX(C84,C85-1),C83)))</f>
        <v>216024.731404512</v>
      </c>
      <c r="D86" s="29" t="n">
        <f aca="false">IF(D84&gt;D85,-1,IF(D83&lt;D84-0.000000001,-1,IF(D83&gt;D85,MAX(D84,D85-1),D83)))</f>
        <v>151857.100424548</v>
      </c>
      <c r="E86" s="29" t="n">
        <f aca="false">IF(E84&gt;E85,-1,IF(E83&lt;E84-0.000000001,-1,IF(E83&gt;E85,MAX(E84,E85-1),E83)))</f>
        <v>-1</v>
      </c>
      <c r="F86" s="29" t="n">
        <f aca="false">IF(F84&gt;F85,-1,IF(F83&lt;F84-0.000000001,-1,IF(F83&gt;F85,MAX(F84,F85-1),F83)))</f>
        <v>171364.52684606</v>
      </c>
      <c r="G86" s="29" t="n">
        <f aca="false">IF(G84&gt;G85,-1,IF(G83&lt;G84-0.000000001,-1,IF(G83&gt;G85,MAX(G84,G85-1),G83)))</f>
        <v>-0</v>
      </c>
      <c r="H86" s="29" t="n">
        <f aca="false">IF(H84&gt;H85,-1,IF(H83&lt;H84-0.000000001,-1,IF(H83&gt;H85,MAX(H84,H85-1),H83)))</f>
        <v>-0</v>
      </c>
      <c r="I86" s="29" t="n">
        <f aca="false">IF(I84&gt;I85,-1,IF(I83&lt;I84-0.000000001,-1,IF(I83&gt;I85,MAX(I84,I85-1),I83)))</f>
        <v>-0</v>
      </c>
      <c r="J86" s="29" t="n">
        <f aca="false">IF(J84&gt;J85,-1,IF(J83&lt;J84-0.000000001,-1,IF(J83&gt;J85,MAX(J84,J85-1),J83)))</f>
        <v>173180.916994343</v>
      </c>
      <c r="K86" s="29" t="n">
        <f aca="false">IF(K84&gt;K85,-1,IF(K83&lt;K84-0.000000001,-1,IF(K83&gt;K85,MAX(K84,K85-1),K83)))</f>
        <v>-1</v>
      </c>
      <c r="L86" s="29" t="n">
        <f aca="false">IF(L84&gt;L85,-1,IF(L83&lt;L84-0.000000001,-1,IF(L83&gt;L85,MAX(L84,L85-1),L83)))</f>
        <v>0</v>
      </c>
      <c r="M86" s="29" t="n">
        <f aca="false">IF(M84&gt;M85,-1,IF(M83&lt;M84-0.000000001,-1,IF(M83&gt;M85,MAX(M84,M85-1),M83)))</f>
        <v>216024.731404512</v>
      </c>
    </row>
    <row r="87" customFormat="false" ht="15" hidden="false" customHeight="false" outlineLevel="0" collapsed="false">
      <c r="A87" s="9" t="s">
        <v>316</v>
      </c>
      <c r="B87" s="19" t="s">
        <v>157</v>
      </c>
      <c r="C87" s="38" t="n">
        <f aca="false">INDEX(T2_Tabel,Berekening!C95,6)+(Berekening!C94-INDEX(T2_Inkomen,Berekening!C95))/(INDEX(T2_Inkomen,Berekening!C95+1)-INDEX(T2_Inkomen,Berekening!C95))*(INDEX(T2_Tabel,Berekening!C95+1,6)-INDEX(T2_Tabel,Berekening!C95,6))</f>
        <v>0.351</v>
      </c>
      <c r="D87" s="38" t="n">
        <f aca="false">INDEX(T2_Tabel,Berekening!D95,6)+(Berekening!D94-INDEX(T2_Inkomen,Berekening!D95))/(INDEX(T2_Inkomen,Berekening!D95+1)-INDEX(T2_Inkomen,Berekening!D95))*(INDEX(T2_Tabel,Berekening!D95+1,6)-INDEX(T2_Tabel,Berekening!D95,6))</f>
        <v>0.351</v>
      </c>
      <c r="E87" s="38" t="n">
        <f aca="false">INDEX(T2_Tabel,Berekening!E95,6)+(Berekening!E94-INDEX(T2_Inkomen,Berekening!E95))/(INDEX(T2_Inkomen,Berekening!E95+1)-INDEX(T2_Inkomen,Berekening!E95))*(INDEX(T2_Tabel,Berekening!E95+1,6)-INDEX(T2_Tabel,Berekening!E95,6))</f>
        <v>0.351</v>
      </c>
      <c r="F87" s="38" t="n">
        <f aca="false">INDEX(T2_Tabel,Berekening!F95,6)+(Berekening!F94-INDEX(T2_Inkomen,Berekening!F95))/(INDEX(T2_Inkomen,Berekening!F95+1)-INDEX(T2_Inkomen,Berekening!F95))*(INDEX(T2_Tabel,Berekening!F95+1,6)-INDEX(T2_Tabel,Berekening!F95,6))</f>
        <v>0.351</v>
      </c>
      <c r="G87" s="38" t="n">
        <f aca="false">INDEX(T2_Tabel,Berekening!G95,6)+(Berekening!G94-INDEX(T2_Inkomen,Berekening!G95))/(INDEX(T2_Inkomen,Berekening!G95+1)-INDEX(T2_Inkomen,Berekening!G95))*(INDEX(T2_Tabel,Berekening!G95+1,6)-INDEX(T2_Tabel,Berekening!G95,6))</f>
        <v>0.321</v>
      </c>
      <c r="H87" s="38" t="n">
        <f aca="false">INDEX(T2_Tabel,Berekening!H95,6)+(Berekening!H94-INDEX(T2_Inkomen,Berekening!H95))/(INDEX(T2_Inkomen,Berekening!H95+1)-INDEX(T2_Inkomen,Berekening!H95))*(INDEX(T2_Tabel,Berekening!H95+1,6)-INDEX(T2_Tabel,Berekening!H95,6))</f>
        <v>0.351</v>
      </c>
      <c r="I87" s="38" t="n">
        <f aca="false">INDEX(T2_Tabel,Berekening!I95,6)+(Berekening!I94-INDEX(T2_Inkomen,Berekening!I95))/(INDEX(T2_Inkomen,Berekening!I95+1)-INDEX(T2_Inkomen,Berekening!I95))*(INDEX(T2_Tabel,Berekening!I95+1,6)-INDEX(T2_Tabel,Berekening!I95,6))</f>
        <v>0.351</v>
      </c>
      <c r="J87" s="38" t="n">
        <f aca="false">INDEX(T2_Tabel,Berekening!J95,6)+(Berekening!J94-INDEX(T2_Inkomen,Berekening!J95))/(INDEX(T2_Inkomen,Berekening!J95+1)-INDEX(T2_Inkomen,Berekening!J95))*(INDEX(T2_Tabel,Berekening!J95+1,6)-INDEX(T2_Tabel,Berekening!J95,6))</f>
        <v>0.351</v>
      </c>
      <c r="K87" s="38" t="n">
        <f aca="false">INDEX(T2_Tabel,Berekening!K95,6)+(Berekening!K94-INDEX(T2_Inkomen,Berekening!K95))/(INDEX(T2_Inkomen,Berekening!K95+1)-INDEX(T2_Inkomen,Berekening!K95))*(INDEX(T2_Tabel,Berekening!K95+1,6)-INDEX(T2_Tabel,Berekening!K95,6))</f>
        <v>0.351</v>
      </c>
      <c r="L87" s="38" t="n">
        <f aca="false">INDEX(T2_Tabel,Berekening!L95,6)+(Berekening!L94-INDEX(T2_Inkomen,Berekening!L95))/(INDEX(T2_Inkomen,Berekening!L95+1)-INDEX(T2_Inkomen,Berekening!L95))*(INDEX(T2_Tabel,Berekening!L95+1,6)-INDEX(T2_Tabel,Berekening!L95,6))</f>
        <v>0.351</v>
      </c>
      <c r="M87" s="38" t="n">
        <f aca="false">INDEX(T2_Tabel,Berekening!M95,6)+(Berekening!M94-INDEX(T2_Inkomen,Berekening!M95))/(INDEX(T2_Inkomen,Berekening!M95+1)-INDEX(T2_Inkomen,Berekening!M95))*(INDEX(T2_Tabel,Berekening!M95+1,6)-INDEX(T2_Tabel,Berekening!M95,6))</f>
        <v>0.351</v>
      </c>
    </row>
    <row r="88" customFormat="false" ht="15" hidden="false" customHeight="false" outlineLevel="0" collapsed="false">
      <c r="A88" s="9" t="s">
        <v>317</v>
      </c>
      <c r="B88" s="19" t="s">
        <v>101</v>
      </c>
      <c r="C88" s="29" t="n">
        <f aca="false">MAX(0,(C87*C60/12-Berekening!C18-Berekening!C44)*Berekening!C11-Berekening!C75+C61)</f>
        <v>607048.519511873</v>
      </c>
      <c r="D88" s="29" t="n">
        <f aca="false">MAX(0,(D87*D60/12-Berekening!D18-Berekening!D44)*Berekening!D11-Berekening!D75+D61)</f>
        <v>636100.071465681</v>
      </c>
      <c r="E88" s="29" t="n">
        <f aca="false">MAX(0,(E87*E60/12-Berekening!E18-Berekening!E44)*Berekening!E11-Berekening!E75+E61)</f>
        <v>484400.976173338</v>
      </c>
      <c r="F88" s="29" t="n">
        <f aca="false">MAX(0,(F87*F60/12-Berekening!F18-Berekening!F44)*Berekening!F11-Berekening!F75+F61)</f>
        <v>586156.33661914</v>
      </c>
      <c r="G88" s="29" t="n">
        <f aca="false">MAX(0,(G87*G60/12-Berekening!G18-Berekening!G44)*Berekening!G11-Berekening!G75+G61)</f>
        <v>331823.473846069</v>
      </c>
      <c r="H88" s="29" t="n">
        <f aca="false">MAX(0,(H87*H60/12-Berekening!H18-Berekening!H44)*Berekening!H11-Berekening!H75+H61)</f>
        <v>826833.663289496</v>
      </c>
      <c r="I88" s="29" t="n">
        <f aca="false">MAX(0,(I87*I60/12-Berekening!I18-Berekening!I44)*Berekening!I11-Berekening!I75+I61)</f>
        <v>1159820.42628556</v>
      </c>
      <c r="J88" s="29" t="n">
        <f aca="false">MAX(0,(J87*J60/12-Berekening!J18-Berekening!J44)*Berekening!J11-Berekening!J75+J61)</f>
        <v>203921.968838571</v>
      </c>
      <c r="K88" s="29" t="n">
        <f aca="false">MAX(0,(K87*K60/12-Berekening!K18-Berekening!K44)*Berekening!K11-Berekening!K75+K61)</f>
        <v>396666.054550356</v>
      </c>
      <c r="L88" s="29" t="n">
        <f aca="false">MAX(0,(L87*L60/12-Berekening!L18-Berekening!L44)*Berekening!L11-Berekening!L75+L61)</f>
        <v>0</v>
      </c>
      <c r="M88" s="29" t="n">
        <f aca="false">MAX(0,(M87*M60/12-Berekening!M18-Berekening!M44)*Berekening!M11-Berekening!M75+M61)</f>
        <v>607048.519511873</v>
      </c>
    </row>
    <row r="89" customFormat="false" ht="15" hidden="false" customHeight="false" outlineLevel="0" collapsed="false">
      <c r="A89" s="9" t="s">
        <v>318</v>
      </c>
      <c r="B89" s="19" t="s">
        <v>101</v>
      </c>
      <c r="C89" s="29" t="n">
        <f aca="false">MAX(0,IF((INDEX(T2_Rente,6)+0.000005)&gt;Berekening!C10,(Berekening!C45-(INDEX(T2_Rente,6)+0.000005)*Berekening!C46)/(360*((INDEX(T2_Rente,6)+0.000005)-Berekening!C10)),IF((INDEX(T2_Rente,6)+0.000005)=Berekening!C10,IF(Berekening!C45-(INDEX(T2_Rente,6)+0.000005)*Berekening!C46&lt;=0,-1000000000000,1000000000000),-1000000000000)),IF((INDEX(T2_Rente,6)-0.005+0.000005)&lt;Berekening!C10,(Berekening!C45-(INDEX(T2_Rente,6)-0.005+0.000005)*Berekening!C46)/(360*((INDEX(T2_Rente,6)-0.005+0.000005)-Berekening!C10)),IF((INDEX(T2_Rente,6)-0.005+0.000005)=Berekening!C10,IF(Berekening!C45-(INDEX(T2_Rente,6)-0.005+0.000005)*Berekening!C46&gt;0,-1000000000000,1000000000000),-1000000000000)))</f>
        <v>216025.731404512</v>
      </c>
      <c r="D89" s="29" t="n">
        <f aca="false">MAX(0,IF((INDEX(T2_Rente,6)+0.000005)&gt;Berekening!D10,(Berekening!D45-(INDEX(T2_Rente,6)+0.000005)*Berekening!D46)/(360*((INDEX(T2_Rente,6)+0.000005)-Berekening!D10)),IF((INDEX(T2_Rente,6)+0.000005)=Berekening!D10,IF(Berekening!D45-(INDEX(T2_Rente,6)+0.000005)*Berekening!D46&lt;=0,-1000000000000,1000000000000),-1000000000000)),IF((INDEX(T2_Rente,6)-0.005+0.000005)&lt;Berekening!D10,(Berekening!D45-(INDEX(T2_Rente,6)-0.005+0.000005)*Berekening!D46)/(360*((INDEX(T2_Rente,6)-0.005+0.000005)-Berekening!D10)),IF((INDEX(T2_Rente,6)-0.005+0.000005)=Berekening!D10,IF(Berekening!D45-(INDEX(T2_Rente,6)-0.005+0.000005)*Berekening!D46&gt;0,-1000000000000,1000000000000),-1000000000000)))</f>
        <v>151858.100424548</v>
      </c>
      <c r="E89" s="29" t="n">
        <f aca="false">MAX(0,IF((INDEX(T2_Rente,6)+0.000005)&gt;Berekening!E10,(Berekening!E45-(INDEX(T2_Rente,6)+0.000005)*Berekening!E46)/(360*((INDEX(T2_Rente,6)+0.000005)-Berekening!E10)),IF((INDEX(T2_Rente,6)+0.000005)=Berekening!E10,IF(Berekening!E45-(INDEX(T2_Rente,6)+0.000005)*Berekening!E46&lt;=0,-1000000000000,1000000000000),-1000000000000)),IF((INDEX(T2_Rente,6)-0.005+0.000005)&lt;Berekening!E10,(Berekening!E45-(INDEX(T2_Rente,6)-0.005+0.000005)*Berekening!E46)/(360*((INDEX(T2_Rente,6)-0.005+0.000005)-Berekening!E10)),IF((INDEX(T2_Rente,6)-0.005+0.000005)=Berekening!E10,IF(Berekening!E45-(INDEX(T2_Rente,6)-0.005+0.000005)*Berekening!E46&gt;0,-1000000000000,1000000000000),-1000000000000)))</f>
        <v>0</v>
      </c>
      <c r="F89" s="29" t="n">
        <f aca="false">MAX(0,IF((INDEX(T2_Rente,6)+0.000005)&gt;Berekening!F10,(Berekening!F45-(INDEX(T2_Rente,6)+0.000005)*Berekening!F46)/(360*((INDEX(T2_Rente,6)+0.000005)-Berekening!F10)),IF((INDEX(T2_Rente,6)+0.000005)=Berekening!F10,IF(Berekening!F45-(INDEX(T2_Rente,6)+0.000005)*Berekening!F46&lt;=0,-1000000000000,1000000000000),-1000000000000)),IF((INDEX(T2_Rente,6)-0.005+0.000005)&lt;Berekening!F10,(Berekening!F45-(INDEX(T2_Rente,6)-0.005+0.000005)*Berekening!F46)/(360*((INDEX(T2_Rente,6)-0.005+0.000005)-Berekening!F10)),IF((INDEX(T2_Rente,6)-0.005+0.000005)=Berekening!F10,IF(Berekening!F45-(INDEX(T2_Rente,6)-0.005+0.000005)*Berekening!F46&gt;0,-1000000000000,1000000000000),-1000000000000)))</f>
        <v>171365.52684606</v>
      </c>
      <c r="G89" s="29" t="n">
        <f aca="false">MAX(0,IF((INDEX(T2_Rente,6)+0.000005)&gt;Berekening!G10,(Berekening!G45-(INDEX(T2_Rente,6)+0.000005)*Berekening!G46)/(360*((INDEX(T2_Rente,6)+0.000005)-Berekening!G10)),IF((INDEX(T2_Rente,6)+0.000005)=Berekening!G10,IF(Berekening!G45-(INDEX(T2_Rente,6)+0.000005)*Berekening!G46&lt;=0,-1000000000000,1000000000000),-1000000000000)),IF((INDEX(T2_Rente,6)-0.005+0.000005)&lt;Berekening!G10,(Berekening!G45-(INDEX(T2_Rente,6)-0.005+0.000005)*Berekening!G46)/(360*((INDEX(T2_Rente,6)-0.005+0.000005)-Berekening!G10)),IF((INDEX(T2_Rente,6)-0.005+0.000005)=Berekening!G10,IF(Berekening!G45-(INDEX(T2_Rente,6)-0.005+0.000005)*Berekening!G46&gt;0,-1000000000000,1000000000000),-1000000000000)))</f>
        <v>-0</v>
      </c>
      <c r="H89" s="29" t="n">
        <f aca="false">MAX(0,IF((INDEX(T2_Rente,6)+0.000005)&gt;Berekening!H10,(Berekening!H45-(INDEX(T2_Rente,6)+0.000005)*Berekening!H46)/(360*((INDEX(T2_Rente,6)+0.000005)-Berekening!H10)),IF((INDEX(T2_Rente,6)+0.000005)=Berekening!H10,IF(Berekening!H45-(INDEX(T2_Rente,6)+0.000005)*Berekening!H46&lt;=0,-1000000000000,1000000000000),-1000000000000)),IF((INDEX(T2_Rente,6)-0.005+0.000005)&lt;Berekening!H10,(Berekening!H45-(INDEX(T2_Rente,6)-0.005+0.000005)*Berekening!H46)/(360*((INDEX(T2_Rente,6)-0.005+0.000005)-Berekening!H10)),IF((INDEX(T2_Rente,6)-0.005+0.000005)=Berekening!H10,IF(Berekening!H45-(INDEX(T2_Rente,6)-0.005+0.000005)*Berekening!H46&gt;0,-1000000000000,1000000000000),-1000000000000)))</f>
        <v>-0</v>
      </c>
      <c r="I89" s="29" t="n">
        <f aca="false">MAX(0,IF((INDEX(T2_Rente,6)+0.000005)&gt;Berekening!I10,(Berekening!I45-(INDEX(T2_Rente,6)+0.000005)*Berekening!I46)/(360*((INDEX(T2_Rente,6)+0.000005)-Berekening!I10)),IF((INDEX(T2_Rente,6)+0.000005)=Berekening!I10,IF(Berekening!I45-(INDEX(T2_Rente,6)+0.000005)*Berekening!I46&lt;=0,-1000000000000,1000000000000),-1000000000000)),IF((INDEX(T2_Rente,6)-0.005+0.000005)&lt;Berekening!I10,(Berekening!I45-(INDEX(T2_Rente,6)-0.005+0.000005)*Berekening!I46)/(360*((INDEX(T2_Rente,6)-0.005+0.000005)-Berekening!I10)),IF((INDEX(T2_Rente,6)-0.005+0.000005)=Berekening!I10,IF(Berekening!I45-(INDEX(T2_Rente,6)-0.005+0.000005)*Berekening!I46&gt;0,-1000000000000,1000000000000),-1000000000000)))</f>
        <v>-0</v>
      </c>
      <c r="J89" s="29" t="n">
        <f aca="false">MAX(0,IF((INDEX(T2_Rente,6)+0.000005)&gt;Berekening!J10,(Berekening!J45-(INDEX(T2_Rente,6)+0.000005)*Berekening!J46)/(360*((INDEX(T2_Rente,6)+0.000005)-Berekening!J10)),IF((INDEX(T2_Rente,6)+0.000005)=Berekening!J10,IF(Berekening!J45-(INDEX(T2_Rente,6)+0.000005)*Berekening!J46&lt;=0,-1000000000000,1000000000000),-1000000000000)),IF((INDEX(T2_Rente,6)-0.005+0.000005)&lt;Berekening!J10,(Berekening!J45-(INDEX(T2_Rente,6)-0.005+0.000005)*Berekening!J46)/(360*((INDEX(T2_Rente,6)-0.005+0.000005)-Berekening!J10)),IF((INDEX(T2_Rente,6)-0.005+0.000005)=Berekening!J10,IF(Berekening!J45-(INDEX(T2_Rente,6)-0.005+0.000005)*Berekening!J46&gt;0,-1000000000000,1000000000000),-1000000000000)))</f>
        <v>216025.731404512</v>
      </c>
      <c r="K89" s="29" t="n">
        <f aca="false">MAX(0,IF((INDEX(T2_Rente,6)+0.000005)&gt;Berekening!K10,(Berekening!K45-(INDEX(T2_Rente,6)+0.000005)*Berekening!K46)/(360*((INDEX(T2_Rente,6)+0.000005)-Berekening!K10)),IF((INDEX(T2_Rente,6)+0.000005)=Berekening!K10,IF(Berekening!K45-(INDEX(T2_Rente,6)+0.000005)*Berekening!K46&lt;=0,-1000000000000,1000000000000),-1000000000000)),IF((INDEX(T2_Rente,6)-0.005+0.000005)&lt;Berekening!K10,(Berekening!K45-(INDEX(T2_Rente,6)-0.005+0.000005)*Berekening!K46)/(360*((INDEX(T2_Rente,6)-0.005+0.000005)-Berekening!K10)),IF((INDEX(T2_Rente,6)-0.005+0.000005)=Berekening!K10,IF(Berekening!K45-(INDEX(T2_Rente,6)-0.005+0.000005)*Berekening!K46&gt;0,-1000000000000,1000000000000),-1000000000000)))</f>
        <v>0</v>
      </c>
      <c r="L89" s="29" t="n">
        <f aca="false">MAX(0,IF((INDEX(T2_Rente,6)+0.000005)&gt;Berekening!L10,(Berekening!L45-(INDEX(T2_Rente,6)+0.000005)*Berekening!L46)/(360*((INDEX(T2_Rente,6)+0.000005)-Berekening!L10)),IF((INDEX(T2_Rente,6)+0.000005)=Berekening!L10,IF(Berekening!L45-(INDEX(T2_Rente,6)+0.000005)*Berekening!L46&lt;=0,-1000000000000,1000000000000),-1000000000000)),IF((INDEX(T2_Rente,6)-0.005+0.000005)&lt;Berekening!L10,(Berekening!L45-(INDEX(T2_Rente,6)-0.005+0.000005)*Berekening!L46)/(360*((INDEX(T2_Rente,6)-0.005+0.000005)-Berekening!L10)),IF((INDEX(T2_Rente,6)-0.005+0.000005)=Berekening!L10,IF(Berekening!L45-(INDEX(T2_Rente,6)-0.005+0.000005)*Berekening!L46&gt;0,-1000000000000,1000000000000),-1000000000000)))</f>
        <v>216025.731404512</v>
      </c>
      <c r="M89" s="29" t="n">
        <f aca="false">MAX(0,IF((INDEX(T2_Rente,6)+0.000005)&gt;Berekening!M10,(Berekening!M45-(INDEX(T2_Rente,6)+0.000005)*Berekening!M46)/(360*((INDEX(T2_Rente,6)+0.000005)-Berekening!M10)),IF((INDEX(T2_Rente,6)+0.000005)=Berekening!M10,IF(Berekening!M45-(INDEX(T2_Rente,6)+0.000005)*Berekening!M46&lt;=0,-1000000000000,1000000000000),-1000000000000)),IF((INDEX(T2_Rente,6)-0.005+0.000005)&lt;Berekening!M10,(Berekening!M45-(INDEX(T2_Rente,6)-0.005+0.000005)*Berekening!M46)/(360*((INDEX(T2_Rente,6)-0.005+0.000005)-Berekening!M10)),IF((INDEX(T2_Rente,6)-0.005+0.000005)=Berekening!M10,IF(Berekening!M45-(INDEX(T2_Rente,6)-0.005+0.000005)*Berekening!M46&gt;0,-1000000000000,1000000000000),-1000000000000)))</f>
        <v>216025.731404512</v>
      </c>
    </row>
    <row r="90" customFormat="false" ht="15" hidden="false" customHeight="false" outlineLevel="0" collapsed="false">
      <c r="A90" s="9" t="s">
        <v>319</v>
      </c>
      <c r="B90" s="19" t="s">
        <v>101</v>
      </c>
      <c r="C90" s="29" t="n">
        <f aca="false">MIN(1000000000000,IF((INDEX(T2_Rente,6)+0.000005)&lt;Berekening!C10,(Berekening!C45-(INDEX(T2_Rente,6)+0.000005)*Berekening!C46)/(360*((INDEX(T2_Rente,6)+0.000005)-Berekening!C10)),1000000000000),IF((INDEX(T2_Rente,6)-0.005+0.000005)&gt;Berekening!C10,(Berekening!C45-(INDEX(T2_Rente,6)-0.005+0.000005)*Berekening!C46)/(360*((INDEX(T2_Rente,6)-0.005+0.000005)-Berekening!C10)),1000000000000))</f>
        <v>788087.908879381</v>
      </c>
      <c r="D90" s="29" t="n">
        <f aca="false">MIN(1000000000000,IF((INDEX(T2_Rente,6)+0.000005)&lt;Berekening!D10,(Berekening!D45-(INDEX(T2_Rente,6)+0.000005)*Berekening!D46)/(360*((INDEX(T2_Rente,6)+0.000005)-Berekening!D10)),1000000000000),IF((INDEX(T2_Rente,6)-0.005+0.000005)&gt;Berekening!D10,(Berekening!D45-(INDEX(T2_Rente,6)-0.005+0.000005)*Berekening!D46)/(360*((INDEX(T2_Rente,6)-0.005+0.000005)-Berekening!D10)),1000000000000))</f>
        <v>714300.45751269</v>
      </c>
      <c r="E90" s="29" t="n">
        <f aca="false">MIN(1000000000000,IF((INDEX(T2_Rente,6)+0.000005)&lt;Berekening!E10,(Berekening!E45-(INDEX(T2_Rente,6)+0.000005)*Berekening!E46)/(360*((INDEX(T2_Rente,6)+0.000005)-Berekening!E10)),1000000000000),IF((INDEX(T2_Rente,6)-0.005+0.000005)&gt;Berekening!E10,(Berekening!E45-(INDEX(T2_Rente,6)-0.005+0.000005)*Berekening!E46)/(360*((INDEX(T2_Rente,6)-0.005+0.000005)-Berekening!E10)),1000000000000))</f>
        <v>-830401.14188204</v>
      </c>
      <c r="F90" s="29" t="n">
        <f aca="false">MIN(1000000000000,IF((INDEX(T2_Rente,6)+0.000005)&lt;Berekening!F10,(Berekening!F45-(INDEX(T2_Rente,6)+0.000005)*Berekening!F46)/(360*((INDEX(T2_Rente,6)+0.000005)-Berekening!F10)),1000000000000),IF((INDEX(T2_Rente,6)-0.005+0.000005)&gt;Berekening!F10,(Berekening!F45-(INDEX(T2_Rente,6)-0.005+0.000005)*Berekening!F46)/(360*((INDEX(T2_Rente,6)-0.005+0.000005)-Berekening!F10)),1000000000000))</f>
        <v>543658.44239353</v>
      </c>
      <c r="G90" s="29" t="n">
        <f aca="false">MIN(1000000000000,IF((INDEX(T2_Rente,6)+0.000005)&lt;Berekening!G10,(Berekening!G45-(INDEX(T2_Rente,6)+0.000005)*Berekening!G46)/(360*((INDEX(T2_Rente,6)+0.000005)-Berekening!G10)),1000000000000),IF((INDEX(T2_Rente,6)-0.005+0.000005)&gt;Berekening!G10,(Berekening!G45-(INDEX(T2_Rente,6)-0.005+0.000005)*Berekening!G46)/(360*((INDEX(T2_Rente,6)-0.005+0.000005)-Berekening!G10)),1000000000000))</f>
        <v>-0</v>
      </c>
      <c r="H90" s="29" t="n">
        <f aca="false">MIN(1000000000000,IF((INDEX(T2_Rente,6)+0.000005)&lt;Berekening!H10,(Berekening!H45-(INDEX(T2_Rente,6)+0.000005)*Berekening!H46)/(360*((INDEX(T2_Rente,6)+0.000005)-Berekening!H10)),1000000000000),IF((INDEX(T2_Rente,6)-0.005+0.000005)&gt;Berekening!H10,(Berekening!H45-(INDEX(T2_Rente,6)-0.005+0.000005)*Berekening!H46)/(360*((INDEX(T2_Rente,6)-0.005+0.000005)-Berekening!H10)),1000000000000))</f>
        <v>-0</v>
      </c>
      <c r="I90" s="29" t="n">
        <f aca="false">MIN(1000000000000,IF((INDEX(T2_Rente,6)+0.000005)&lt;Berekening!I10,(Berekening!I45-(INDEX(T2_Rente,6)+0.000005)*Berekening!I46)/(360*((INDEX(T2_Rente,6)+0.000005)-Berekening!I10)),1000000000000),IF((INDEX(T2_Rente,6)-0.005+0.000005)&gt;Berekening!I10,(Berekening!I45-(INDEX(T2_Rente,6)-0.005+0.000005)*Berekening!I46)/(360*((INDEX(T2_Rente,6)-0.005+0.000005)-Berekening!I10)),1000000000000))</f>
        <v>-0</v>
      </c>
      <c r="J90" s="29" t="n">
        <f aca="false">MIN(1000000000000,IF((INDEX(T2_Rente,6)+0.000005)&lt;Berekening!J10,(Berekening!J45-(INDEX(T2_Rente,6)+0.000005)*Berekening!J46)/(360*((INDEX(T2_Rente,6)+0.000005)-Berekening!J10)),1000000000000),IF((INDEX(T2_Rente,6)-0.005+0.000005)&gt;Berekening!J10,(Berekening!J45-(INDEX(T2_Rente,6)-0.005+0.000005)*Berekening!J46)/(360*((INDEX(T2_Rente,6)-0.005+0.000005)-Berekening!J10)),1000000000000))</f>
        <v>788087.908879381</v>
      </c>
      <c r="K90" s="29" t="n">
        <f aca="false">MIN(1000000000000,IF((INDEX(T2_Rente,6)+0.000005)&lt;Berekening!K10,(Berekening!K45-(INDEX(T2_Rente,6)+0.000005)*Berekening!K46)/(360*((INDEX(T2_Rente,6)+0.000005)-Berekening!K10)),1000000000000),IF((INDEX(T2_Rente,6)-0.005+0.000005)&gt;Berekening!K10,(Berekening!K45-(INDEX(T2_Rente,6)-0.005+0.000005)*Berekening!K46)/(360*((INDEX(T2_Rente,6)-0.005+0.000005)-Berekening!K10)),1000000000000))</f>
        <v>-687755.21714608</v>
      </c>
      <c r="L90" s="29" t="n">
        <f aca="false">MIN(1000000000000,IF((INDEX(T2_Rente,6)+0.000005)&lt;Berekening!L10,(Berekening!L45-(INDEX(T2_Rente,6)+0.000005)*Berekening!L46)/(360*((INDEX(T2_Rente,6)+0.000005)-Berekening!L10)),1000000000000),IF((INDEX(T2_Rente,6)-0.005+0.000005)&gt;Berekening!L10,(Berekening!L45-(INDEX(T2_Rente,6)-0.005+0.000005)*Berekening!L46)/(360*((INDEX(T2_Rente,6)-0.005+0.000005)-Berekening!L10)),1000000000000))</f>
        <v>788087.908879381</v>
      </c>
      <c r="M90" s="29" t="n">
        <f aca="false">MIN(1000000000000,IF((INDEX(T2_Rente,6)+0.000005)&lt;Berekening!M10,(Berekening!M45-(INDEX(T2_Rente,6)+0.000005)*Berekening!M46)/(360*((INDEX(T2_Rente,6)+0.000005)-Berekening!M10)),1000000000000),IF((INDEX(T2_Rente,6)-0.005+0.000005)&gt;Berekening!M10,(Berekening!M45-(INDEX(T2_Rente,6)-0.005+0.000005)*Berekening!M46)/(360*((INDEX(T2_Rente,6)-0.005+0.000005)-Berekening!M10)),1000000000000))</f>
        <v>788087.908879381</v>
      </c>
    </row>
    <row r="91" customFormat="false" ht="15" hidden="false" customHeight="false" outlineLevel="0" collapsed="false">
      <c r="A91" s="9" t="s">
        <v>320</v>
      </c>
      <c r="B91" s="19" t="s">
        <v>101</v>
      </c>
      <c r="C91" s="29" t="n">
        <f aca="false">IF(C89&gt;C90,-1,IF(C88&lt;C89-0.000000001,-1,IF(C88&gt;C90,MAX(C89,C90-1),C88)))</f>
        <v>607048.519511873</v>
      </c>
      <c r="D91" s="29" t="n">
        <f aca="false">IF(D89&gt;D90,-1,IF(D88&lt;D89-0.000000001,-1,IF(D88&gt;D90,MAX(D89,D90-1),D88)))</f>
        <v>636100.071465681</v>
      </c>
      <c r="E91" s="29" t="n">
        <f aca="false">IF(E89&gt;E90,-1,IF(E88&lt;E89-0.000000001,-1,IF(E88&gt;E90,MAX(E89,E90-1),E88)))</f>
        <v>-1</v>
      </c>
      <c r="F91" s="29" t="n">
        <f aca="false">IF(F89&gt;F90,-1,IF(F88&lt;F89-0.000000001,-1,IF(F88&gt;F90,MAX(F89,F90-1),F88)))</f>
        <v>543657.44239353</v>
      </c>
      <c r="G91" s="29" t="n">
        <f aca="false">IF(G89&gt;G90,-1,IF(G88&lt;G89-0.000000001,-1,IF(G88&gt;G90,MAX(G89,G90-1),G88)))</f>
        <v>-0</v>
      </c>
      <c r="H91" s="29" t="n">
        <f aca="false">IF(H89&gt;H90,-1,IF(H88&lt;H89-0.000000001,-1,IF(H88&gt;H90,MAX(H89,H90-1),H88)))</f>
        <v>-0</v>
      </c>
      <c r="I91" s="29" t="n">
        <f aca="false">IF(I89&gt;I90,-1,IF(I88&lt;I89-0.000000001,-1,IF(I88&gt;I90,MAX(I89,I90-1),I88)))</f>
        <v>-0</v>
      </c>
      <c r="J91" s="29" t="n">
        <f aca="false">IF(J89&gt;J90,-1,IF(J88&lt;J89-0.000000001,-1,IF(J88&gt;J90,MAX(J89,J90-1),J88)))</f>
        <v>-1</v>
      </c>
      <c r="K91" s="29" t="n">
        <f aca="false">IF(K89&gt;K90,-1,IF(K88&lt;K89-0.000000001,-1,IF(K88&gt;K90,MAX(K89,K90-1),K88)))</f>
        <v>-1</v>
      </c>
      <c r="L91" s="29" t="n">
        <f aca="false">IF(L89&gt;L90,-1,IF(L88&lt;L89-0.000000001,-1,IF(L88&gt;L90,MAX(L89,L90-1),L88)))</f>
        <v>-1</v>
      </c>
      <c r="M91" s="29" t="n">
        <f aca="false">IF(M89&gt;M90,-1,IF(M88&lt;M89-0.000000001,-1,IF(M88&gt;M90,MAX(M89,M90-1),M88)))</f>
        <v>607048.519511873</v>
      </c>
    </row>
    <row r="92" customFormat="false" ht="15" hidden="false" customHeight="false" outlineLevel="0" collapsed="false">
      <c r="A92" s="9" t="s">
        <v>321</v>
      </c>
      <c r="B92" s="19" t="s">
        <v>157</v>
      </c>
      <c r="C92" s="38" t="n">
        <f aca="false">INDEX(T2_Tabel,Berekening!C95,7)+(Berekening!C94-INDEX(T2_Inkomen,Berekening!C95))/(INDEX(T2_Inkomen,Berekening!C95+1)-INDEX(T2_Inkomen,Berekening!C95))*(INDEX(T2_Tabel,Berekening!C95+1,7)-INDEX(T2_Tabel,Berekening!C95,7))</f>
        <v>0.363</v>
      </c>
      <c r="D92" s="38" t="n">
        <f aca="false">INDEX(T2_Tabel,Berekening!D95,7)+(Berekening!D94-INDEX(T2_Inkomen,Berekening!D95))/(INDEX(T2_Inkomen,Berekening!D95+1)-INDEX(T2_Inkomen,Berekening!D95))*(INDEX(T2_Tabel,Berekening!D95+1,7)-INDEX(T2_Tabel,Berekening!D95,7))</f>
        <v>0.363</v>
      </c>
      <c r="E92" s="38" t="n">
        <f aca="false">INDEX(T2_Tabel,Berekening!E95,7)+(Berekening!E94-INDEX(T2_Inkomen,Berekening!E95))/(INDEX(T2_Inkomen,Berekening!E95+1)-INDEX(T2_Inkomen,Berekening!E95))*(INDEX(T2_Tabel,Berekening!E95+1,7)-INDEX(T2_Tabel,Berekening!E95,7))</f>
        <v>0.363</v>
      </c>
      <c r="F92" s="38" t="n">
        <f aca="false">INDEX(T2_Tabel,Berekening!F95,7)+(Berekening!F94-INDEX(T2_Inkomen,Berekening!F95))/(INDEX(T2_Inkomen,Berekening!F95+1)-INDEX(T2_Inkomen,Berekening!F95))*(INDEX(T2_Tabel,Berekening!F95+1,7)-INDEX(T2_Tabel,Berekening!F95,7))</f>
        <v>0.363</v>
      </c>
      <c r="G92" s="38" t="n">
        <f aca="false">INDEX(T2_Tabel,Berekening!G95,7)+(Berekening!G94-INDEX(T2_Inkomen,Berekening!G95))/(INDEX(T2_Inkomen,Berekening!G95+1)-INDEX(T2_Inkomen,Berekening!G95))*(INDEX(T2_Tabel,Berekening!G95+1,7)-INDEX(T2_Tabel,Berekening!G95,7))</f>
        <v>0.331</v>
      </c>
      <c r="H92" s="38" t="n">
        <f aca="false">INDEX(T2_Tabel,Berekening!H95,7)+(Berekening!H94-INDEX(T2_Inkomen,Berekening!H95))/(INDEX(T2_Inkomen,Berekening!H95+1)-INDEX(T2_Inkomen,Berekening!H95))*(INDEX(T2_Tabel,Berekening!H95+1,7)-INDEX(T2_Tabel,Berekening!H95,7))</f>
        <v>0.363</v>
      </c>
      <c r="I92" s="38" t="n">
        <f aca="false">INDEX(T2_Tabel,Berekening!I95,7)+(Berekening!I94-INDEX(T2_Inkomen,Berekening!I95))/(INDEX(T2_Inkomen,Berekening!I95+1)-INDEX(T2_Inkomen,Berekening!I95))*(INDEX(T2_Tabel,Berekening!I95+1,7)-INDEX(T2_Tabel,Berekening!I95,7))</f>
        <v>0.363</v>
      </c>
      <c r="J92" s="38" t="n">
        <f aca="false">INDEX(T2_Tabel,Berekening!J95,7)+(Berekening!J94-INDEX(T2_Inkomen,Berekening!J95))/(INDEX(T2_Inkomen,Berekening!J95+1)-INDEX(T2_Inkomen,Berekening!J95))*(INDEX(T2_Tabel,Berekening!J95+1,7)-INDEX(T2_Tabel,Berekening!J95,7))</f>
        <v>0.363</v>
      </c>
      <c r="K92" s="38" t="n">
        <f aca="false">INDEX(T2_Tabel,Berekening!K95,7)+(Berekening!K94-INDEX(T2_Inkomen,Berekening!K95))/(INDEX(T2_Inkomen,Berekening!K95+1)-INDEX(T2_Inkomen,Berekening!K95))*(INDEX(T2_Tabel,Berekening!K95+1,7)-INDEX(T2_Tabel,Berekening!K95,7))</f>
        <v>0.363</v>
      </c>
      <c r="L92" s="38" t="n">
        <f aca="false">INDEX(T2_Tabel,Berekening!L95,7)+(Berekening!L94-INDEX(T2_Inkomen,Berekening!L95))/(INDEX(T2_Inkomen,Berekening!L95+1)-INDEX(T2_Inkomen,Berekening!L95))*(INDEX(T2_Tabel,Berekening!L95+1,7)-INDEX(T2_Tabel,Berekening!L95,7))</f>
        <v>0.363</v>
      </c>
      <c r="M92" s="38" t="n">
        <f aca="false">INDEX(T2_Tabel,Berekening!M95,7)+(Berekening!M94-INDEX(T2_Inkomen,Berekening!M95))/(INDEX(T2_Inkomen,Berekening!M95+1)-INDEX(T2_Inkomen,Berekening!M95))*(INDEX(T2_Tabel,Berekening!M95+1,7)-INDEX(T2_Tabel,Berekening!M95,7))</f>
        <v>0.363</v>
      </c>
    </row>
    <row r="93" customFormat="false" ht="15" hidden="false" customHeight="false" outlineLevel="0" collapsed="false">
      <c r="A93" s="9" t="s">
        <v>322</v>
      </c>
      <c r="B93" s="19" t="s">
        <v>101</v>
      </c>
      <c r="C93" s="29" t="n">
        <f aca="false">MAX(0,(C92*C60/12-Berekening!C18-Berekening!C44)*Berekening!C11-Berekening!C75+C61)</f>
        <v>650481.716780013</v>
      </c>
      <c r="D93" s="29" t="n">
        <f aca="false">MAX(0,(D92*D60/12-Berekening!D18-Berekening!D44)*Berekening!D11-Berekening!D75+D61)</f>
        <v>679533.268733822</v>
      </c>
      <c r="E93" s="29" t="n">
        <f aca="false">MAX(0,(E92*E60/12-Berekening!E18-Berekening!E44)*Berekening!E11-Berekening!E75+E61)</f>
        <v>527834.173441478</v>
      </c>
      <c r="F93" s="29" t="n">
        <f aca="false">MAX(0,(F92*F60/12-Berekening!F18-Berekening!F44)*Berekening!F11-Berekening!F75+F61)</f>
        <v>628069.700454507</v>
      </c>
      <c r="G93" s="29" t="n">
        <f aca="false">MAX(0,(G92*G60/12-Berekening!G18-Berekening!G44)*Berekening!G11-Berekening!G75+G61)</f>
        <v>341475.295461211</v>
      </c>
      <c r="H93" s="29" t="n">
        <f aca="false">MAX(0,(H92*H60/12-Berekening!H18-Berekening!H44)*Berekening!H11-Berekening!H75+H61)</f>
        <v>855789.128134923</v>
      </c>
      <c r="I93" s="29" t="n">
        <f aca="false">MAX(0,(I92*I60/12-Berekening!I18-Berekening!I44)*Berekening!I11-Berekening!I75+I61)</f>
        <v>1203253.6235537</v>
      </c>
      <c r="J93" s="29" t="n">
        <f aca="false">MAX(0,(J92*J60/12-Berekening!J18-Berekening!J44)*Berekening!J11-Berekening!J75+J61)</f>
        <v>232298.32438709</v>
      </c>
      <c r="K93" s="29" t="n">
        <f aca="false">MAX(0,(K92*K60/12-Berekening!K18-Berekening!K44)*Berekening!K11-Berekening!K75+K61)</f>
        <v>440099.251818497</v>
      </c>
      <c r="L93" s="29" t="n">
        <f aca="false">MAX(0,(L92*L60/12-Berekening!L18-Berekening!L44)*Berekening!L11-Berekening!L75+L61)</f>
        <v>0</v>
      </c>
      <c r="M93" s="29" t="n">
        <f aca="false">MAX(0,(M92*M60/12-Berekening!M18-Berekening!M44)*Berekening!M11-Berekening!M75+M61)</f>
        <v>650481.716780013</v>
      </c>
    </row>
    <row r="94" customFormat="false" ht="15" hidden="false" customHeight="false" outlineLevel="0" collapsed="false">
      <c r="A94" s="9" t="s">
        <v>323</v>
      </c>
      <c r="B94" s="19" t="s">
        <v>101</v>
      </c>
      <c r="C94" s="29" t="n">
        <f aca="false">MAX(0,IF((INDEX(T2_Rente,7)+0.000005)&gt;Berekening!C10,(Berekening!C45-(INDEX(T2_Rente,7)+0.000005)*Berekening!C46)/(360*((INDEX(T2_Rente,7)+0.000005)-Berekening!C10)),IF((INDEX(T2_Rente,7)+0.000005)=Berekening!C10,IF(Berekening!C45-(INDEX(T2_Rente,7)+0.000005)*Berekening!C46&lt;=0,-1000000000000,1000000000000),-1000000000000)),IF((INDEX(T2_Rente,7)-0.005+0.000005)&lt;Berekening!C10,(Berekening!C45-(INDEX(T2_Rente,7)-0.005+0.000005)*Berekening!C46)/(360*((INDEX(T2_Rente,7)-0.005+0.000005)-Berekening!C10)),IF((INDEX(T2_Rente,7)-0.005+0.000005)=Berekening!C10,IF(Berekening!C45-(INDEX(T2_Rente,7)-0.005+0.000005)*Berekening!C46&gt;0,-1000000000000,1000000000000),-1000000000000)))</f>
        <v>788087.908879381</v>
      </c>
      <c r="D94" s="29" t="n">
        <f aca="false">MAX(0,IF((INDEX(T2_Rente,7)+0.000005)&gt;Berekening!D10,(Berekening!D45-(INDEX(T2_Rente,7)+0.000005)*Berekening!D46)/(360*((INDEX(T2_Rente,7)+0.000005)-Berekening!D10)),IF((INDEX(T2_Rente,7)+0.000005)=Berekening!D10,IF(Berekening!D45-(INDEX(T2_Rente,7)+0.000005)*Berekening!D46&lt;=0,-1000000000000,1000000000000),-1000000000000)),IF((INDEX(T2_Rente,7)-0.005+0.000005)&lt;Berekening!D10,(Berekening!D45-(INDEX(T2_Rente,7)-0.005+0.000005)*Berekening!D46)/(360*((INDEX(T2_Rente,7)-0.005+0.000005)-Berekening!D10)),IF((INDEX(T2_Rente,7)-0.005+0.000005)=Berekening!D10,IF(Berekening!D45-(INDEX(T2_Rente,7)-0.005+0.000005)*Berekening!D46&gt;0,-1000000000000,1000000000000),-1000000000000)))</f>
        <v>714300.45751269</v>
      </c>
      <c r="E94" s="29" t="n">
        <f aca="false">MAX(0,IF((INDEX(T2_Rente,7)+0.000005)&gt;Berekening!E10,(Berekening!E45-(INDEX(T2_Rente,7)+0.000005)*Berekening!E46)/(360*((INDEX(T2_Rente,7)+0.000005)-Berekening!E10)),IF((INDEX(T2_Rente,7)+0.000005)=Berekening!E10,IF(Berekening!E45-(INDEX(T2_Rente,7)+0.000005)*Berekening!E46&lt;=0,-1000000000000,1000000000000),-1000000000000)),IF((INDEX(T2_Rente,7)-0.005+0.000005)&lt;Berekening!E10,(Berekening!E45-(INDEX(T2_Rente,7)-0.005+0.000005)*Berekening!E46)/(360*((INDEX(T2_Rente,7)-0.005+0.000005)-Berekening!E10)),IF((INDEX(T2_Rente,7)-0.005+0.000005)=Berekening!E10,IF(Berekening!E45-(INDEX(T2_Rente,7)-0.005+0.000005)*Berekening!E46&gt;0,-1000000000000,1000000000000),-1000000000000)))</f>
        <v>0</v>
      </c>
      <c r="F94" s="29" t="n">
        <f aca="false">MAX(0,IF((INDEX(T2_Rente,7)+0.000005)&gt;Berekening!F10,(Berekening!F45-(INDEX(T2_Rente,7)+0.000005)*Berekening!F46)/(360*((INDEX(T2_Rente,7)+0.000005)-Berekening!F10)),IF((INDEX(T2_Rente,7)+0.000005)=Berekening!F10,IF(Berekening!F45-(INDEX(T2_Rente,7)+0.000005)*Berekening!F46&lt;=0,-1000000000000,1000000000000),-1000000000000)),IF((INDEX(T2_Rente,7)-0.005+0.000005)&lt;Berekening!F10,(Berekening!F45-(INDEX(T2_Rente,7)-0.005+0.000005)*Berekening!F46)/(360*((INDEX(T2_Rente,7)-0.005+0.000005)-Berekening!F10)),IF((INDEX(T2_Rente,7)-0.005+0.000005)=Berekening!F10,IF(Berekening!F45-(INDEX(T2_Rente,7)-0.005+0.000005)*Berekening!F46&gt;0,-1000000000000,1000000000000),-1000000000000)))</f>
        <v>543658.44239353</v>
      </c>
      <c r="G94" s="29" t="n">
        <f aca="false">MAX(0,IF((INDEX(T2_Rente,7)+0.000005)&gt;Berekening!G10,(Berekening!G45-(INDEX(T2_Rente,7)+0.000005)*Berekening!G46)/(360*((INDEX(T2_Rente,7)+0.000005)-Berekening!G10)),IF((INDEX(T2_Rente,7)+0.000005)=Berekening!G10,IF(Berekening!G45-(INDEX(T2_Rente,7)+0.000005)*Berekening!G46&lt;=0,-1000000000000,1000000000000),-1000000000000)),IF((INDEX(T2_Rente,7)-0.005+0.000005)&lt;Berekening!G10,(Berekening!G45-(INDEX(T2_Rente,7)-0.005+0.000005)*Berekening!G46)/(360*((INDEX(T2_Rente,7)-0.005+0.000005)-Berekening!G10)),IF((INDEX(T2_Rente,7)-0.005+0.000005)=Berekening!G10,IF(Berekening!G45-(INDEX(T2_Rente,7)-0.005+0.000005)*Berekening!G46&gt;0,-1000000000000,1000000000000),-1000000000000)))</f>
        <v>-0</v>
      </c>
      <c r="H94" s="29" t="n">
        <f aca="false">MAX(0,IF((INDEX(T2_Rente,7)+0.000005)&gt;Berekening!H10,(Berekening!H45-(INDEX(T2_Rente,7)+0.000005)*Berekening!H46)/(360*((INDEX(T2_Rente,7)+0.000005)-Berekening!H10)),IF((INDEX(T2_Rente,7)+0.000005)=Berekening!H10,IF(Berekening!H45-(INDEX(T2_Rente,7)+0.000005)*Berekening!H46&lt;=0,-1000000000000,1000000000000),-1000000000000)),IF((INDEX(T2_Rente,7)-0.005+0.000005)&lt;Berekening!H10,(Berekening!H45-(INDEX(T2_Rente,7)-0.005+0.000005)*Berekening!H46)/(360*((INDEX(T2_Rente,7)-0.005+0.000005)-Berekening!H10)),IF((INDEX(T2_Rente,7)-0.005+0.000005)=Berekening!H10,IF(Berekening!H45-(INDEX(T2_Rente,7)-0.005+0.000005)*Berekening!H46&gt;0,-1000000000000,1000000000000),-1000000000000)))</f>
        <v>-0</v>
      </c>
      <c r="I94" s="29" t="n">
        <f aca="false">MAX(0,IF((INDEX(T2_Rente,7)+0.000005)&gt;Berekening!I10,(Berekening!I45-(INDEX(T2_Rente,7)+0.000005)*Berekening!I46)/(360*((INDEX(T2_Rente,7)+0.000005)-Berekening!I10)),IF((INDEX(T2_Rente,7)+0.000005)=Berekening!I10,IF(Berekening!I45-(INDEX(T2_Rente,7)+0.000005)*Berekening!I46&lt;=0,-1000000000000,1000000000000),-1000000000000)),IF((INDEX(T2_Rente,7)-0.005+0.000005)&lt;Berekening!I10,(Berekening!I45-(INDEX(T2_Rente,7)-0.005+0.000005)*Berekening!I46)/(360*((INDEX(T2_Rente,7)-0.005+0.000005)-Berekening!I10)),IF((INDEX(T2_Rente,7)-0.005+0.000005)=Berekening!I10,IF(Berekening!I45-(INDEX(T2_Rente,7)-0.005+0.000005)*Berekening!I46&gt;0,-1000000000000,1000000000000),-1000000000000)))</f>
        <v>-0</v>
      </c>
      <c r="J94" s="29" t="n">
        <f aca="false">MAX(0,IF((INDEX(T2_Rente,7)+0.000005)&gt;Berekening!J10,(Berekening!J45-(INDEX(T2_Rente,7)+0.000005)*Berekening!J46)/(360*((INDEX(T2_Rente,7)+0.000005)-Berekening!J10)),IF((INDEX(T2_Rente,7)+0.000005)=Berekening!J10,IF(Berekening!J45-(INDEX(T2_Rente,7)+0.000005)*Berekening!J46&lt;=0,-1000000000000,1000000000000),-1000000000000)),IF((INDEX(T2_Rente,7)-0.005+0.000005)&lt;Berekening!J10,(Berekening!J45-(INDEX(T2_Rente,7)-0.005+0.000005)*Berekening!J46)/(360*((INDEX(T2_Rente,7)-0.005+0.000005)-Berekening!J10)),IF((INDEX(T2_Rente,7)-0.005+0.000005)=Berekening!J10,IF(Berekening!J45-(INDEX(T2_Rente,7)-0.005+0.000005)*Berekening!J46&gt;0,-1000000000000,1000000000000),-1000000000000)))</f>
        <v>788087.908879381</v>
      </c>
      <c r="K94" s="29" t="n">
        <f aca="false">MAX(0,IF((INDEX(T2_Rente,7)+0.000005)&gt;Berekening!K10,(Berekening!K45-(INDEX(T2_Rente,7)+0.000005)*Berekening!K46)/(360*((INDEX(T2_Rente,7)+0.000005)-Berekening!K10)),IF((INDEX(T2_Rente,7)+0.000005)=Berekening!K10,IF(Berekening!K45-(INDEX(T2_Rente,7)+0.000005)*Berekening!K46&lt;=0,-1000000000000,1000000000000),-1000000000000)),IF((INDEX(T2_Rente,7)-0.005+0.000005)&lt;Berekening!K10,(Berekening!K45-(INDEX(T2_Rente,7)-0.005+0.000005)*Berekening!K46)/(360*((INDEX(T2_Rente,7)-0.005+0.000005)-Berekening!K10)),IF((INDEX(T2_Rente,7)-0.005+0.000005)=Berekening!K10,IF(Berekening!K45-(INDEX(T2_Rente,7)-0.005+0.000005)*Berekening!K46&gt;0,-1000000000000,1000000000000),-1000000000000)))</f>
        <v>0</v>
      </c>
      <c r="L94" s="29" t="n">
        <f aca="false">MAX(0,IF((INDEX(T2_Rente,7)+0.000005)&gt;Berekening!L10,(Berekening!L45-(INDEX(T2_Rente,7)+0.000005)*Berekening!L46)/(360*((INDEX(T2_Rente,7)+0.000005)-Berekening!L10)),IF((INDEX(T2_Rente,7)+0.000005)=Berekening!L10,IF(Berekening!L45-(INDEX(T2_Rente,7)+0.000005)*Berekening!L46&lt;=0,-1000000000000,1000000000000),-1000000000000)),IF((INDEX(T2_Rente,7)-0.005+0.000005)&lt;Berekening!L10,(Berekening!L45-(INDEX(T2_Rente,7)-0.005+0.000005)*Berekening!L46)/(360*((INDEX(T2_Rente,7)-0.005+0.000005)-Berekening!L10)),IF((INDEX(T2_Rente,7)-0.005+0.000005)=Berekening!L10,IF(Berekening!L45-(INDEX(T2_Rente,7)-0.005+0.000005)*Berekening!L46&gt;0,-1000000000000,1000000000000),-1000000000000)))</f>
        <v>788087.908879381</v>
      </c>
      <c r="M94" s="29" t="n">
        <f aca="false">MAX(0,IF((INDEX(T2_Rente,7)+0.000005)&gt;Berekening!M10,(Berekening!M45-(INDEX(T2_Rente,7)+0.000005)*Berekening!M46)/(360*((INDEX(T2_Rente,7)+0.000005)-Berekening!M10)),IF((INDEX(T2_Rente,7)+0.000005)=Berekening!M10,IF(Berekening!M45-(INDEX(T2_Rente,7)+0.000005)*Berekening!M46&lt;=0,-1000000000000,1000000000000),-1000000000000)),IF((INDEX(T2_Rente,7)-0.005+0.000005)&lt;Berekening!M10,(Berekening!M45-(INDEX(T2_Rente,7)-0.005+0.000005)*Berekening!M46)/(360*((INDEX(T2_Rente,7)-0.005+0.000005)-Berekening!M10)),IF((INDEX(T2_Rente,7)-0.005+0.000005)=Berekening!M10,IF(Berekening!M45-(INDEX(T2_Rente,7)-0.005+0.000005)*Berekening!M46&gt;0,-1000000000000,1000000000000),-1000000000000)))</f>
        <v>788087.908879381</v>
      </c>
    </row>
    <row r="95" customFormat="false" ht="15" hidden="false" customHeight="false" outlineLevel="0" collapsed="false">
      <c r="A95" s="9" t="s">
        <v>324</v>
      </c>
      <c r="B95" s="19" t="s">
        <v>101</v>
      </c>
      <c r="C95" s="29" t="n">
        <f aca="false">MIN(1000000000000,IF((INDEX(T2_Rente,7)+0.000005)&lt;Berekening!C10,(Berekening!C45-(INDEX(T2_Rente,7)+0.000005)*Berekening!C46)/(360*((INDEX(T2_Rente,7)+0.000005)-Berekening!C10)),1000000000000),IF((INDEX(T2_Rente,7)-0.005+0.000005)&gt;Berekening!C10,(Berekening!C45-(INDEX(T2_Rente,7)-0.005+0.000005)*Berekening!C46)/(360*((INDEX(T2_Rente,7)-0.005+0.000005)-Berekening!C10)),1000000000000))</f>
        <v>4378947.85667018</v>
      </c>
      <c r="D95" s="29" t="n">
        <f aca="false">MIN(1000000000000,IF((INDEX(T2_Rente,7)+0.000005)&lt;Berekening!D10,(Berekening!D45-(INDEX(T2_Rente,7)+0.000005)*Berekening!D46)/(360*((INDEX(T2_Rente,7)+0.000005)-Berekening!D10)),1000000000000),IF((INDEX(T2_Rente,7)-0.005+0.000005)&gt;Berekening!D10,(Berekening!D45-(INDEX(T2_Rente,7)-0.005+0.000005)*Berekening!D46)/(360*((INDEX(T2_Rente,7)-0.005+0.000005)-Berekening!D10)),1000000000000))</f>
        <v>4244776.3612401</v>
      </c>
      <c r="E95" s="29" t="n">
        <f aca="false">MIN(1000000000000,IF((INDEX(T2_Rente,7)+0.000005)&lt;Berekening!E10,(Berekening!E45-(INDEX(T2_Rente,7)+0.000005)*Berekening!E46)/(360*((INDEX(T2_Rente,7)+0.000005)-Berekening!E10)),1000000000000),IF((INDEX(T2_Rente,7)-0.005+0.000005)&gt;Berekening!E10,(Berekening!E45-(INDEX(T2_Rente,7)-0.005+0.000005)*Berekening!E46)/(360*((INDEX(T2_Rente,7)-0.005+0.000005)-Berekening!E10)),1000000000000))</f>
        <v>-1509960.85309235</v>
      </c>
      <c r="F95" s="29" t="n">
        <f aca="false">MIN(1000000000000,IF((INDEX(T2_Rente,7)+0.000005)&lt;Berekening!F10,(Berekening!F45-(INDEX(T2_Rente,7)+0.000005)*Berekening!F46)/(360*((INDEX(T2_Rente,7)+0.000005)-Berekening!F10)),1000000000000),IF((INDEX(T2_Rente,7)-0.005+0.000005)&gt;Berekening!F10,(Berekening!F45-(INDEX(T2_Rente,7)-0.005+0.000005)*Berekening!F46)/(360*((INDEX(T2_Rente,7)-0.005+0.000005)-Berekening!F10)),1000000000000))</f>
        <v>1661282.5201982</v>
      </c>
      <c r="G95" s="29" t="n">
        <f aca="false">MIN(1000000000000,IF((INDEX(T2_Rente,7)+0.000005)&lt;Berekening!G10,(Berekening!G45-(INDEX(T2_Rente,7)+0.000005)*Berekening!G46)/(360*((INDEX(T2_Rente,7)+0.000005)-Berekening!G10)),1000000000000),IF((INDEX(T2_Rente,7)-0.005+0.000005)&gt;Berekening!G10,(Berekening!G45-(INDEX(T2_Rente,7)-0.005+0.000005)*Berekening!G46)/(360*((INDEX(T2_Rente,7)-0.005+0.000005)-Berekening!G10)),1000000000000))</f>
        <v>-0</v>
      </c>
      <c r="H95" s="29" t="n">
        <f aca="false">MIN(1000000000000,IF((INDEX(T2_Rente,7)+0.000005)&lt;Berekening!H10,(Berekening!H45-(INDEX(T2_Rente,7)+0.000005)*Berekening!H46)/(360*((INDEX(T2_Rente,7)+0.000005)-Berekening!H10)),1000000000000),IF((INDEX(T2_Rente,7)-0.005+0.000005)&gt;Berekening!H10,(Berekening!H45-(INDEX(T2_Rente,7)-0.005+0.000005)*Berekening!H46)/(360*((INDEX(T2_Rente,7)-0.005+0.000005)-Berekening!H10)),1000000000000))</f>
        <v>-0</v>
      </c>
      <c r="I95" s="29" t="n">
        <f aca="false">MIN(1000000000000,IF((INDEX(T2_Rente,7)+0.000005)&lt;Berekening!I10,(Berekening!I45-(INDEX(T2_Rente,7)+0.000005)*Berekening!I46)/(360*((INDEX(T2_Rente,7)+0.000005)-Berekening!I10)),1000000000000),IF((INDEX(T2_Rente,7)-0.005+0.000005)&gt;Berekening!I10,(Berekening!I45-(INDEX(T2_Rente,7)-0.005+0.000005)*Berekening!I46)/(360*((INDEX(T2_Rente,7)-0.005+0.000005)-Berekening!I10)),1000000000000))</f>
        <v>-0</v>
      </c>
      <c r="J95" s="29" t="n">
        <f aca="false">MIN(1000000000000,IF((INDEX(T2_Rente,7)+0.000005)&lt;Berekening!J10,(Berekening!J45-(INDEX(T2_Rente,7)+0.000005)*Berekening!J46)/(360*((INDEX(T2_Rente,7)+0.000005)-Berekening!J10)),1000000000000),IF((INDEX(T2_Rente,7)-0.005+0.000005)&gt;Berekening!J10,(Berekening!J45-(INDEX(T2_Rente,7)-0.005+0.000005)*Berekening!J46)/(360*((INDEX(T2_Rente,7)-0.005+0.000005)-Berekening!J10)),1000000000000))</f>
        <v>4378947.85667018</v>
      </c>
      <c r="K95" s="29" t="n">
        <f aca="false">MIN(1000000000000,IF((INDEX(T2_Rente,7)+0.000005)&lt;Berekening!K10,(Berekening!K45-(INDEX(T2_Rente,7)+0.000005)*Berekening!K46)/(360*((INDEX(T2_Rente,7)+0.000005)-Berekening!K10)),1000000000000),IF((INDEX(T2_Rente,7)-0.005+0.000005)&gt;Berekening!K10,(Berekening!K45-(INDEX(T2_Rente,7)-0.005+0.000005)*Berekening!K46)/(360*((INDEX(T2_Rente,7)-0.005+0.000005)-Berekening!K10)),1000000000000))</f>
        <v>-1250580.47493404</v>
      </c>
      <c r="L95" s="29" t="n">
        <f aca="false">MIN(1000000000000,IF((INDEX(T2_Rente,7)+0.000005)&lt;Berekening!L10,(Berekening!L45-(INDEX(T2_Rente,7)+0.000005)*Berekening!L46)/(360*((INDEX(T2_Rente,7)+0.000005)-Berekening!L10)),1000000000000),IF((INDEX(T2_Rente,7)-0.005+0.000005)&gt;Berekening!L10,(Berekening!L45-(INDEX(T2_Rente,7)-0.005+0.000005)*Berekening!L46)/(360*((INDEX(T2_Rente,7)-0.005+0.000005)-Berekening!L10)),1000000000000))</f>
        <v>4378947.85667018</v>
      </c>
      <c r="M95" s="29" t="n">
        <f aca="false">MIN(1000000000000,IF((INDEX(T2_Rente,7)+0.000005)&lt;Berekening!M10,(Berekening!M45-(INDEX(T2_Rente,7)+0.000005)*Berekening!M46)/(360*((INDEX(T2_Rente,7)+0.000005)-Berekening!M10)),1000000000000),IF((INDEX(T2_Rente,7)-0.005+0.000005)&gt;Berekening!M10,(Berekening!M45-(INDEX(T2_Rente,7)-0.005+0.000005)*Berekening!M46)/(360*((INDEX(T2_Rente,7)-0.005+0.000005)-Berekening!M10)),1000000000000))</f>
        <v>4378947.85667018</v>
      </c>
    </row>
    <row r="96" customFormat="false" ht="15" hidden="false" customHeight="false" outlineLevel="0" collapsed="false">
      <c r="A96" s="9" t="s">
        <v>325</v>
      </c>
      <c r="B96" s="19" t="s">
        <v>101</v>
      </c>
      <c r="C96" s="29" t="n">
        <f aca="false">IF(C94&gt;C95,-1,IF(C93&lt;C94-0.000000001,-1,IF(C93&gt;C95,MAX(C94,C95-1),C93)))</f>
        <v>-1</v>
      </c>
      <c r="D96" s="29" t="n">
        <f aca="false">IF(D94&gt;D95,-1,IF(D93&lt;D94-0.000000001,-1,IF(D93&gt;D95,MAX(D94,D95-1),D93)))</f>
        <v>-1</v>
      </c>
      <c r="E96" s="29" t="n">
        <f aca="false">IF(E94&gt;E95,-1,IF(E93&lt;E94-0.000000001,-1,IF(E93&gt;E95,MAX(E94,E95-1),E93)))</f>
        <v>-1</v>
      </c>
      <c r="F96" s="29" t="n">
        <f aca="false">IF(F94&gt;F95,-1,IF(F93&lt;F94-0.000000001,-1,IF(F93&gt;F95,MAX(F94,F95-1),F93)))</f>
        <v>628069.700454507</v>
      </c>
      <c r="G96" s="29" t="n">
        <f aca="false">IF(G94&gt;G95,-1,IF(G93&lt;G94-0.000000001,-1,IF(G93&gt;G95,MAX(G94,G95-1),G93)))</f>
        <v>-0</v>
      </c>
      <c r="H96" s="29" t="n">
        <f aca="false">IF(H94&gt;H95,-1,IF(H93&lt;H94-0.000000001,-1,IF(H93&gt;H95,MAX(H94,H95-1),H93)))</f>
        <v>-0</v>
      </c>
      <c r="I96" s="29" t="n">
        <f aca="false">IF(I94&gt;I95,-1,IF(I93&lt;I94-0.000000001,-1,IF(I93&gt;I95,MAX(I94,I95-1),I93)))</f>
        <v>-0</v>
      </c>
      <c r="J96" s="29" t="n">
        <f aca="false">IF(J94&gt;J95,-1,IF(J93&lt;J94-0.000000001,-1,IF(J93&gt;J95,MAX(J94,J95-1),J93)))</f>
        <v>-1</v>
      </c>
      <c r="K96" s="29" t="n">
        <f aca="false">IF(K94&gt;K95,-1,IF(K93&lt;K94-0.000000001,-1,IF(K93&gt;K95,MAX(K94,K95-1),K93)))</f>
        <v>-1</v>
      </c>
      <c r="L96" s="29" t="n">
        <f aca="false">IF(L94&gt;L95,-1,IF(L93&lt;L94-0.000000001,-1,IF(L93&gt;L95,MAX(L94,L95-1),L93)))</f>
        <v>-1</v>
      </c>
      <c r="M96" s="29" t="n">
        <f aca="false">IF(M94&gt;M95,-1,IF(M93&lt;M94-0.000000001,-1,IF(M93&gt;M95,MAX(M94,M95-1),M93)))</f>
        <v>-1</v>
      </c>
    </row>
    <row r="97" customFormat="false" ht="15" hidden="false" customHeight="false" outlineLevel="0" collapsed="false">
      <c r="A97" s="9" t="s">
        <v>326</v>
      </c>
      <c r="B97" s="19" t="s">
        <v>157</v>
      </c>
      <c r="C97" s="38" t="n">
        <f aca="false">INDEX(T2_Tabel,Berekening!C95,8)+(Berekening!C94-INDEX(T2_Inkomen,Berekening!C95))/(INDEX(T2_Inkomen,Berekening!C95+1)-INDEX(T2_Inkomen,Berekening!C95))*(INDEX(T2_Tabel,Berekening!C95+1,8)-INDEX(T2_Tabel,Berekening!C95,8))</f>
        <v>0.375</v>
      </c>
      <c r="D97" s="38" t="n">
        <f aca="false">INDEX(T2_Tabel,Berekening!D95,8)+(Berekening!D94-INDEX(T2_Inkomen,Berekening!D95))/(INDEX(T2_Inkomen,Berekening!D95+1)-INDEX(T2_Inkomen,Berekening!D95))*(INDEX(T2_Tabel,Berekening!D95+1,8)-INDEX(T2_Tabel,Berekening!D95,8))</f>
        <v>0.375</v>
      </c>
      <c r="E97" s="38" t="n">
        <f aca="false">INDEX(T2_Tabel,Berekening!E95,8)+(Berekening!E94-INDEX(T2_Inkomen,Berekening!E95))/(INDEX(T2_Inkomen,Berekening!E95+1)-INDEX(T2_Inkomen,Berekening!E95))*(INDEX(T2_Tabel,Berekening!E95+1,8)-INDEX(T2_Tabel,Berekening!E95,8))</f>
        <v>0.375</v>
      </c>
      <c r="F97" s="38" t="n">
        <f aca="false">INDEX(T2_Tabel,Berekening!F95,8)+(Berekening!F94-INDEX(T2_Inkomen,Berekening!F95))/(INDEX(T2_Inkomen,Berekening!F95+1)-INDEX(T2_Inkomen,Berekening!F95))*(INDEX(T2_Tabel,Berekening!F95+1,8)-INDEX(T2_Tabel,Berekening!F95,8))</f>
        <v>0.375</v>
      </c>
      <c r="G97" s="38" t="n">
        <f aca="false">INDEX(T2_Tabel,Berekening!G95,8)+(Berekening!G94-INDEX(T2_Inkomen,Berekening!G95))/(INDEX(T2_Inkomen,Berekening!G95+1)-INDEX(T2_Inkomen,Berekening!G95))*(INDEX(T2_Tabel,Berekening!G95+1,8)-INDEX(T2_Tabel,Berekening!G95,8))</f>
        <v>0.341</v>
      </c>
      <c r="H97" s="38" t="n">
        <f aca="false">INDEX(T2_Tabel,Berekening!H95,8)+(Berekening!H94-INDEX(T2_Inkomen,Berekening!H95))/(INDEX(T2_Inkomen,Berekening!H95+1)-INDEX(T2_Inkomen,Berekening!H95))*(INDEX(T2_Tabel,Berekening!H95+1,8)-INDEX(T2_Tabel,Berekening!H95,8))</f>
        <v>0.375</v>
      </c>
      <c r="I97" s="38" t="n">
        <f aca="false">INDEX(T2_Tabel,Berekening!I95,8)+(Berekening!I94-INDEX(T2_Inkomen,Berekening!I95))/(INDEX(T2_Inkomen,Berekening!I95+1)-INDEX(T2_Inkomen,Berekening!I95))*(INDEX(T2_Tabel,Berekening!I95+1,8)-INDEX(T2_Tabel,Berekening!I95,8))</f>
        <v>0.375</v>
      </c>
      <c r="J97" s="38" t="n">
        <f aca="false">INDEX(T2_Tabel,Berekening!J95,8)+(Berekening!J94-INDEX(T2_Inkomen,Berekening!J95))/(INDEX(T2_Inkomen,Berekening!J95+1)-INDEX(T2_Inkomen,Berekening!J95))*(INDEX(T2_Tabel,Berekening!J95+1,8)-INDEX(T2_Tabel,Berekening!J95,8))</f>
        <v>0.375</v>
      </c>
      <c r="K97" s="38" t="n">
        <f aca="false">INDEX(T2_Tabel,Berekening!K95,8)+(Berekening!K94-INDEX(T2_Inkomen,Berekening!K95))/(INDEX(T2_Inkomen,Berekening!K95+1)-INDEX(T2_Inkomen,Berekening!K95))*(INDEX(T2_Tabel,Berekening!K95+1,8)-INDEX(T2_Tabel,Berekening!K95,8))</f>
        <v>0.375</v>
      </c>
      <c r="L97" s="38" t="n">
        <f aca="false">INDEX(T2_Tabel,Berekening!L95,8)+(Berekening!L94-INDEX(T2_Inkomen,Berekening!L95))/(INDEX(T2_Inkomen,Berekening!L95+1)-INDEX(T2_Inkomen,Berekening!L95))*(INDEX(T2_Tabel,Berekening!L95+1,8)-INDEX(T2_Tabel,Berekening!L95,8))</f>
        <v>0.375</v>
      </c>
      <c r="M97" s="38" t="n">
        <f aca="false">INDEX(T2_Tabel,Berekening!M95,8)+(Berekening!M94-INDEX(T2_Inkomen,Berekening!M95))/(INDEX(T2_Inkomen,Berekening!M95+1)-INDEX(T2_Inkomen,Berekening!M95))*(INDEX(T2_Tabel,Berekening!M95+1,8)-INDEX(T2_Tabel,Berekening!M95,8))</f>
        <v>0.375</v>
      </c>
    </row>
    <row r="98" customFormat="false" ht="15" hidden="false" customHeight="false" outlineLevel="0" collapsed="false">
      <c r="A98" s="9" t="s">
        <v>327</v>
      </c>
      <c r="B98" s="19" t="s">
        <v>101</v>
      </c>
      <c r="C98" s="29" t="n">
        <f aca="false">MAX(0,(C97*C60/12-Berekening!C18-Berekening!C44)*Berekening!C11-Berekening!C75+C61)</f>
        <v>693914.914048154</v>
      </c>
      <c r="D98" s="29" t="n">
        <f aca="false">MAX(0,(D97*D60/12-Berekening!D18-Berekening!D44)*Berekening!D11-Berekening!D75+D61)</f>
        <v>722966.466001963</v>
      </c>
      <c r="E98" s="29" t="n">
        <f aca="false">MAX(0,(E97*E60/12-Berekening!E18-Berekening!E44)*Berekening!E11-Berekening!E75+E61)</f>
        <v>571267.370709619</v>
      </c>
      <c r="F98" s="29" t="n">
        <f aca="false">MAX(0,(F97*F60/12-Berekening!F18-Berekening!F44)*Berekening!F11-Berekening!F75+F61)</f>
        <v>669983.064289874</v>
      </c>
      <c r="G98" s="29" t="n">
        <f aca="false">MAX(0,(G97*G60/12-Berekening!G18-Berekening!G44)*Berekening!G11-Berekening!G75+G61)</f>
        <v>351127.117076354</v>
      </c>
      <c r="H98" s="29" t="n">
        <f aca="false">MAX(0,(H97*H60/12-Berekening!H18-Berekening!H44)*Berekening!H11-Berekening!H75+H61)</f>
        <v>884744.59298035</v>
      </c>
      <c r="I98" s="29" t="n">
        <f aca="false">MAX(0,(I97*I60/12-Berekening!I18-Berekening!I44)*Berekening!I11-Berekening!I75+I61)</f>
        <v>1246686.82082184</v>
      </c>
      <c r="J98" s="29" t="n">
        <f aca="false">MAX(0,(J97*J60/12-Berekening!J18-Berekening!J44)*Berekening!J11-Berekening!J75+J61)</f>
        <v>260674.679935608</v>
      </c>
      <c r="K98" s="29" t="n">
        <f aca="false">MAX(0,(K97*K60/12-Berekening!K18-Berekening!K44)*Berekening!K11-Berekening!K75+K61)</f>
        <v>483532.449086637</v>
      </c>
      <c r="L98" s="29" t="n">
        <f aca="false">MAX(0,(L97*L60/12-Berekening!L18-Berekening!L44)*Berekening!L11-Berekening!L75+L61)</f>
        <v>0</v>
      </c>
      <c r="M98" s="29" t="n">
        <f aca="false">MAX(0,(M97*M60/12-Berekening!M18-Berekening!M44)*Berekening!M11-Berekening!M75+M61)</f>
        <v>693914.914048154</v>
      </c>
    </row>
    <row r="99" customFormat="false" ht="15" hidden="false" customHeight="false" outlineLevel="0" collapsed="false">
      <c r="A99" s="9" t="s">
        <v>328</v>
      </c>
      <c r="B99" s="19" t="s">
        <v>101</v>
      </c>
      <c r="C99" s="29" t="n">
        <f aca="false">MAX(0,IF((INDEX(T2_Rente,8)+0.000005)&gt;Berekening!C10,(Berekening!C45-(INDEX(T2_Rente,8)+0.000005)*Berekening!C46)/(360*((INDEX(T2_Rente,8)+0.000005)-Berekening!C10)),IF((INDEX(T2_Rente,8)+0.000005)=Berekening!C10,IF(Berekening!C45-(INDEX(T2_Rente,8)+0.000005)*Berekening!C46&lt;=0,-1000000000000,1000000000000),-1000000000000)),IF((INDEX(T2_Rente,8)-0.005+0.000005)&lt;Berekening!C10,(Berekening!C45-(INDEX(T2_Rente,8)-0.005+0.000005)*Berekening!C46)/(360*((INDEX(T2_Rente,8)-0.005+0.000005)-Berekening!C10)),IF((INDEX(T2_Rente,8)-0.005+0.000005)=Berekening!C10,IF(Berekening!C45-(INDEX(T2_Rente,8)-0.005+0.000005)*Berekening!C46&gt;0,-1000000000000,1000000000000),-1000000000000)))</f>
        <v>4378947.8566702</v>
      </c>
      <c r="D99" s="29" t="n">
        <f aca="false">MAX(0,IF((INDEX(T2_Rente,8)+0.000005)&gt;Berekening!D10,(Berekening!D45-(INDEX(T2_Rente,8)+0.000005)*Berekening!D46)/(360*((INDEX(T2_Rente,8)+0.000005)-Berekening!D10)),IF((INDEX(T2_Rente,8)+0.000005)=Berekening!D10,IF(Berekening!D45-(INDEX(T2_Rente,8)+0.000005)*Berekening!D46&lt;=0,-1000000000000,1000000000000),-1000000000000)),IF((INDEX(T2_Rente,8)-0.005+0.000005)&lt;Berekening!D10,(Berekening!D45-(INDEX(T2_Rente,8)-0.005+0.000005)*Berekening!D46)/(360*((INDEX(T2_Rente,8)-0.005+0.000005)-Berekening!D10)),IF((INDEX(T2_Rente,8)-0.005+0.000005)=Berekening!D10,IF(Berekening!D45-(INDEX(T2_Rente,8)-0.005+0.000005)*Berekening!D46&gt;0,-1000000000000,1000000000000),-1000000000000)))</f>
        <v>4244776.36124012</v>
      </c>
      <c r="E99" s="29" t="n">
        <f aca="false">MAX(0,IF((INDEX(T2_Rente,8)+0.000005)&gt;Berekening!E10,(Berekening!E45-(INDEX(T2_Rente,8)+0.000005)*Berekening!E46)/(360*((INDEX(T2_Rente,8)+0.000005)-Berekening!E10)),IF((INDEX(T2_Rente,8)+0.000005)=Berekening!E10,IF(Berekening!E45-(INDEX(T2_Rente,8)+0.000005)*Berekening!E46&lt;=0,-1000000000000,1000000000000),-1000000000000)),IF((INDEX(T2_Rente,8)-0.005+0.000005)&lt;Berekening!E10,(Berekening!E45-(INDEX(T2_Rente,8)-0.005+0.000005)*Berekening!E46)/(360*((INDEX(T2_Rente,8)-0.005+0.000005)-Berekening!E10)),IF((INDEX(T2_Rente,8)-0.005+0.000005)=Berekening!E10,IF(Berekening!E45-(INDEX(T2_Rente,8)-0.005+0.000005)*Berekening!E46&gt;0,-1000000000000,1000000000000),-1000000000000)))</f>
        <v>0</v>
      </c>
      <c r="F99" s="29" t="n">
        <f aca="false">MAX(0,IF((INDEX(T2_Rente,8)+0.000005)&gt;Berekening!F10,(Berekening!F45-(INDEX(T2_Rente,8)+0.000005)*Berekening!F46)/(360*((INDEX(T2_Rente,8)+0.000005)-Berekening!F10)),IF((INDEX(T2_Rente,8)+0.000005)=Berekening!F10,IF(Berekening!F45-(INDEX(T2_Rente,8)+0.000005)*Berekening!F46&lt;=0,-1000000000000,1000000000000),-1000000000000)),IF((INDEX(T2_Rente,8)-0.005+0.000005)&lt;Berekening!F10,(Berekening!F45-(INDEX(T2_Rente,8)-0.005+0.000005)*Berekening!F46)/(360*((INDEX(T2_Rente,8)-0.005+0.000005)-Berekening!F10)),IF((INDEX(T2_Rente,8)-0.005+0.000005)=Berekening!F10,IF(Berekening!F45-(INDEX(T2_Rente,8)-0.005+0.000005)*Berekening!F46&gt;0,-1000000000000,1000000000000),-1000000000000)))</f>
        <v>1661282.5201982</v>
      </c>
      <c r="G99" s="29" t="n">
        <f aca="false">MAX(0,IF((INDEX(T2_Rente,8)+0.000005)&gt;Berekening!G10,(Berekening!G45-(INDEX(T2_Rente,8)+0.000005)*Berekening!G46)/(360*((INDEX(T2_Rente,8)+0.000005)-Berekening!G10)),IF((INDEX(T2_Rente,8)+0.000005)=Berekening!G10,IF(Berekening!G45-(INDEX(T2_Rente,8)+0.000005)*Berekening!G46&lt;=0,-1000000000000,1000000000000),-1000000000000)),IF((INDEX(T2_Rente,8)-0.005+0.000005)&lt;Berekening!G10,(Berekening!G45-(INDEX(T2_Rente,8)-0.005+0.000005)*Berekening!G46)/(360*((INDEX(T2_Rente,8)-0.005+0.000005)-Berekening!G10)),IF((INDEX(T2_Rente,8)-0.005+0.000005)=Berekening!G10,IF(Berekening!G45-(INDEX(T2_Rente,8)-0.005+0.000005)*Berekening!G46&gt;0,-1000000000000,1000000000000),-1000000000000)))</f>
        <v>-0</v>
      </c>
      <c r="H99" s="29" t="n">
        <f aca="false">MAX(0,IF((INDEX(T2_Rente,8)+0.000005)&gt;Berekening!H10,(Berekening!H45-(INDEX(T2_Rente,8)+0.000005)*Berekening!H46)/(360*((INDEX(T2_Rente,8)+0.000005)-Berekening!H10)),IF((INDEX(T2_Rente,8)+0.000005)=Berekening!H10,IF(Berekening!H45-(INDEX(T2_Rente,8)+0.000005)*Berekening!H46&lt;=0,-1000000000000,1000000000000),-1000000000000)),IF((INDEX(T2_Rente,8)-0.005+0.000005)&lt;Berekening!H10,(Berekening!H45-(INDEX(T2_Rente,8)-0.005+0.000005)*Berekening!H46)/(360*((INDEX(T2_Rente,8)-0.005+0.000005)-Berekening!H10)),IF((INDEX(T2_Rente,8)-0.005+0.000005)=Berekening!H10,IF(Berekening!H45-(INDEX(T2_Rente,8)-0.005+0.000005)*Berekening!H46&gt;0,-1000000000000,1000000000000),-1000000000000)))</f>
        <v>-0</v>
      </c>
      <c r="I99" s="29" t="n">
        <f aca="false">MAX(0,IF((INDEX(T2_Rente,8)+0.000005)&gt;Berekening!I10,(Berekening!I45-(INDEX(T2_Rente,8)+0.000005)*Berekening!I46)/(360*((INDEX(T2_Rente,8)+0.000005)-Berekening!I10)),IF((INDEX(T2_Rente,8)+0.000005)=Berekening!I10,IF(Berekening!I45-(INDEX(T2_Rente,8)+0.000005)*Berekening!I46&lt;=0,-1000000000000,1000000000000),-1000000000000)),IF((INDEX(T2_Rente,8)-0.005+0.000005)&lt;Berekening!I10,(Berekening!I45-(INDEX(T2_Rente,8)-0.005+0.000005)*Berekening!I46)/(360*((INDEX(T2_Rente,8)-0.005+0.000005)-Berekening!I10)),IF((INDEX(T2_Rente,8)-0.005+0.000005)=Berekening!I10,IF(Berekening!I45-(INDEX(T2_Rente,8)-0.005+0.000005)*Berekening!I46&gt;0,-1000000000000,1000000000000),-1000000000000)))</f>
        <v>-0</v>
      </c>
      <c r="J99" s="29" t="n">
        <f aca="false">MAX(0,IF((INDEX(T2_Rente,8)+0.000005)&gt;Berekening!J10,(Berekening!J45-(INDEX(T2_Rente,8)+0.000005)*Berekening!J46)/(360*((INDEX(T2_Rente,8)+0.000005)-Berekening!J10)),IF((INDEX(T2_Rente,8)+0.000005)=Berekening!J10,IF(Berekening!J45-(INDEX(T2_Rente,8)+0.000005)*Berekening!J46&lt;=0,-1000000000000,1000000000000),-1000000000000)),IF((INDEX(T2_Rente,8)-0.005+0.000005)&lt;Berekening!J10,(Berekening!J45-(INDEX(T2_Rente,8)-0.005+0.000005)*Berekening!J46)/(360*((INDEX(T2_Rente,8)-0.005+0.000005)-Berekening!J10)),IF((INDEX(T2_Rente,8)-0.005+0.000005)=Berekening!J10,IF(Berekening!J45-(INDEX(T2_Rente,8)-0.005+0.000005)*Berekening!J46&gt;0,-1000000000000,1000000000000),-1000000000000)))</f>
        <v>4378947.8566702</v>
      </c>
      <c r="K99" s="29" t="n">
        <f aca="false">MAX(0,IF((INDEX(T2_Rente,8)+0.000005)&gt;Berekening!K10,(Berekening!K45-(INDEX(T2_Rente,8)+0.000005)*Berekening!K46)/(360*((INDEX(T2_Rente,8)+0.000005)-Berekening!K10)),IF((INDEX(T2_Rente,8)+0.000005)=Berekening!K10,IF(Berekening!K45-(INDEX(T2_Rente,8)+0.000005)*Berekening!K46&lt;=0,-1000000000000,1000000000000),-1000000000000)),IF((INDEX(T2_Rente,8)-0.005+0.000005)&lt;Berekening!K10,(Berekening!K45-(INDEX(T2_Rente,8)-0.005+0.000005)*Berekening!K46)/(360*((INDEX(T2_Rente,8)-0.005+0.000005)-Berekening!K10)),IF((INDEX(T2_Rente,8)-0.005+0.000005)=Berekening!K10,IF(Berekening!K45-(INDEX(T2_Rente,8)-0.005+0.000005)*Berekening!K46&gt;0,-1000000000000,1000000000000),-1000000000000)))</f>
        <v>0</v>
      </c>
      <c r="L99" s="29" t="n">
        <f aca="false">MAX(0,IF((INDEX(T2_Rente,8)+0.000005)&gt;Berekening!L10,(Berekening!L45-(INDEX(T2_Rente,8)+0.000005)*Berekening!L46)/(360*((INDEX(T2_Rente,8)+0.000005)-Berekening!L10)),IF((INDEX(T2_Rente,8)+0.000005)=Berekening!L10,IF(Berekening!L45-(INDEX(T2_Rente,8)+0.000005)*Berekening!L46&lt;=0,-1000000000000,1000000000000),-1000000000000)),IF((INDEX(T2_Rente,8)-0.005+0.000005)&lt;Berekening!L10,(Berekening!L45-(INDEX(T2_Rente,8)-0.005+0.000005)*Berekening!L46)/(360*((INDEX(T2_Rente,8)-0.005+0.000005)-Berekening!L10)),IF((INDEX(T2_Rente,8)-0.005+0.000005)=Berekening!L10,IF(Berekening!L45-(INDEX(T2_Rente,8)-0.005+0.000005)*Berekening!L46&gt;0,-1000000000000,1000000000000),-1000000000000)))</f>
        <v>4378947.8566702</v>
      </c>
      <c r="M99" s="29" t="n">
        <f aca="false">MAX(0,IF((INDEX(T2_Rente,8)+0.000005)&gt;Berekening!M10,(Berekening!M45-(INDEX(T2_Rente,8)+0.000005)*Berekening!M46)/(360*((INDEX(T2_Rente,8)+0.000005)-Berekening!M10)),IF((INDEX(T2_Rente,8)+0.000005)=Berekening!M10,IF(Berekening!M45-(INDEX(T2_Rente,8)+0.000005)*Berekening!M46&lt;=0,-1000000000000,1000000000000),-1000000000000)),IF((INDEX(T2_Rente,8)-0.005+0.000005)&lt;Berekening!M10,(Berekening!M45-(INDEX(T2_Rente,8)-0.005+0.000005)*Berekening!M46)/(360*((INDEX(T2_Rente,8)-0.005+0.000005)-Berekening!M10)),IF((INDEX(T2_Rente,8)-0.005+0.000005)=Berekening!M10,IF(Berekening!M45-(INDEX(T2_Rente,8)-0.005+0.000005)*Berekening!M46&gt;0,-1000000000000,1000000000000),-1000000000000)))</f>
        <v>4378947.8566702</v>
      </c>
    </row>
    <row r="100" customFormat="false" ht="15" hidden="false" customHeight="false" outlineLevel="0" collapsed="false">
      <c r="A100" s="9" t="s">
        <v>329</v>
      </c>
      <c r="B100" s="19" t="s">
        <v>101</v>
      </c>
      <c r="C100" s="29" t="n">
        <f aca="false">MIN(1000000000000,IF((INDEX(T2_Rente,8)+0.000005)&lt;Berekening!C10,(Berekening!C45-(INDEX(T2_Rente,8)+0.000005)*Berekening!C46)/(360*((INDEX(T2_Rente,8)+0.000005)-Berekening!C10)),1000000000000),IF((INDEX(T2_Rente,8)-0.005+0.000005)&gt;Berekening!C10,(Berekening!C45-(INDEX(T2_Rente,8)-0.005+0.000005)*Berekening!C46)/(360*((INDEX(T2_Rente,8)-0.005+0.000005)-Berekening!C10)),1000000000000))</f>
        <v>1000000000000</v>
      </c>
      <c r="D100" s="29" t="n">
        <f aca="false">MIN(1000000000000,IF((INDEX(T2_Rente,8)+0.000005)&lt;Berekening!D10,(Berekening!D45-(INDEX(T2_Rente,8)+0.000005)*Berekening!D46)/(360*((INDEX(T2_Rente,8)+0.000005)-Berekening!D10)),1000000000000),IF((INDEX(T2_Rente,8)-0.005+0.000005)&gt;Berekening!D10,(Berekening!D45-(INDEX(T2_Rente,8)-0.005+0.000005)*Berekening!D46)/(360*((INDEX(T2_Rente,8)-0.005+0.000005)-Berekening!D10)),1000000000000))</f>
        <v>1000000000000</v>
      </c>
      <c r="E100" s="29" t="n">
        <f aca="false">MIN(1000000000000,IF((INDEX(T2_Rente,8)+0.000005)&lt;Berekening!E10,(Berekening!E45-(INDEX(T2_Rente,8)+0.000005)*Berekening!E46)/(360*((INDEX(T2_Rente,8)+0.000005)-Berekening!E10)),1000000000000),IF((INDEX(T2_Rente,8)-0.005+0.000005)&gt;Berekening!E10,(Berekening!E45-(INDEX(T2_Rente,8)-0.005+0.000005)*Berekening!E46)/(360*((INDEX(T2_Rente,8)-0.005+0.000005)-Berekening!E10)),1000000000000))</f>
        <v>1000000000000</v>
      </c>
      <c r="F100" s="29" t="n">
        <f aca="false">MIN(1000000000000,IF((INDEX(T2_Rente,8)+0.000005)&lt;Berekening!F10,(Berekening!F45-(INDEX(T2_Rente,8)+0.000005)*Berekening!F46)/(360*((INDEX(T2_Rente,8)+0.000005)-Berekening!F10)),1000000000000),IF((INDEX(T2_Rente,8)-0.005+0.000005)&gt;Berekening!F10,(Berekening!F45-(INDEX(T2_Rente,8)-0.005+0.000005)*Berekening!F46)/(360*((INDEX(T2_Rente,8)-0.005+0.000005)-Berekening!F10)),1000000000000))</f>
        <v>1000000000000</v>
      </c>
      <c r="G100" s="29" t="n">
        <f aca="false">MIN(1000000000000,IF((INDEX(T2_Rente,8)+0.000005)&lt;Berekening!G10,(Berekening!G45-(INDEX(T2_Rente,8)+0.000005)*Berekening!G46)/(360*((INDEX(T2_Rente,8)+0.000005)-Berekening!G10)),1000000000000),IF((INDEX(T2_Rente,8)-0.005+0.000005)&gt;Berekening!G10,(Berekening!G45-(INDEX(T2_Rente,8)-0.005+0.000005)*Berekening!G46)/(360*((INDEX(T2_Rente,8)-0.005+0.000005)-Berekening!G10)),1000000000000))</f>
        <v>1000000000000</v>
      </c>
      <c r="H100" s="29" t="n">
        <f aca="false">MIN(1000000000000,IF((INDEX(T2_Rente,8)+0.000005)&lt;Berekening!H10,(Berekening!H45-(INDEX(T2_Rente,8)+0.000005)*Berekening!H46)/(360*((INDEX(T2_Rente,8)+0.000005)-Berekening!H10)),1000000000000),IF((INDEX(T2_Rente,8)-0.005+0.000005)&gt;Berekening!H10,(Berekening!H45-(INDEX(T2_Rente,8)-0.005+0.000005)*Berekening!H46)/(360*((INDEX(T2_Rente,8)-0.005+0.000005)-Berekening!H10)),1000000000000))</f>
        <v>1000000000000</v>
      </c>
      <c r="I100" s="29" t="n">
        <f aca="false">MIN(1000000000000,IF((INDEX(T2_Rente,8)+0.000005)&lt;Berekening!I10,(Berekening!I45-(INDEX(T2_Rente,8)+0.000005)*Berekening!I46)/(360*((INDEX(T2_Rente,8)+0.000005)-Berekening!I10)),1000000000000),IF((INDEX(T2_Rente,8)-0.005+0.000005)&gt;Berekening!I10,(Berekening!I45-(INDEX(T2_Rente,8)-0.005+0.000005)*Berekening!I46)/(360*((INDEX(T2_Rente,8)-0.005+0.000005)-Berekening!I10)),1000000000000))</f>
        <v>1000000000000</v>
      </c>
      <c r="J100" s="29" t="n">
        <f aca="false">MIN(1000000000000,IF((INDEX(T2_Rente,8)+0.000005)&lt;Berekening!J10,(Berekening!J45-(INDEX(T2_Rente,8)+0.000005)*Berekening!J46)/(360*((INDEX(T2_Rente,8)+0.000005)-Berekening!J10)),1000000000000),IF((INDEX(T2_Rente,8)-0.005+0.000005)&gt;Berekening!J10,(Berekening!J45-(INDEX(T2_Rente,8)-0.005+0.000005)*Berekening!J46)/(360*((INDEX(T2_Rente,8)-0.005+0.000005)-Berekening!J10)),1000000000000))</f>
        <v>1000000000000</v>
      </c>
      <c r="K100" s="29" t="n">
        <f aca="false">MIN(1000000000000,IF((INDEX(T2_Rente,8)+0.000005)&lt;Berekening!K10,(Berekening!K45-(INDEX(T2_Rente,8)+0.000005)*Berekening!K46)/(360*((INDEX(T2_Rente,8)+0.000005)-Berekening!K10)),1000000000000),IF((INDEX(T2_Rente,8)-0.005+0.000005)&gt;Berekening!K10,(Berekening!K45-(INDEX(T2_Rente,8)-0.005+0.000005)*Berekening!K46)/(360*((INDEX(T2_Rente,8)-0.005+0.000005)-Berekening!K10)),1000000000000))</f>
        <v>1000000000000</v>
      </c>
      <c r="L100" s="29" t="n">
        <f aca="false">MIN(1000000000000,IF((INDEX(T2_Rente,8)+0.000005)&lt;Berekening!L10,(Berekening!L45-(INDEX(T2_Rente,8)+0.000005)*Berekening!L46)/(360*((INDEX(T2_Rente,8)+0.000005)-Berekening!L10)),1000000000000),IF((INDEX(T2_Rente,8)-0.005+0.000005)&gt;Berekening!L10,(Berekening!L45-(INDEX(T2_Rente,8)-0.005+0.000005)*Berekening!L46)/(360*((INDEX(T2_Rente,8)-0.005+0.000005)-Berekening!L10)),1000000000000))</f>
        <v>1000000000000</v>
      </c>
      <c r="M100" s="29" t="n">
        <f aca="false">MIN(1000000000000,IF((INDEX(T2_Rente,8)+0.000005)&lt;Berekening!M10,(Berekening!M45-(INDEX(T2_Rente,8)+0.000005)*Berekening!M46)/(360*((INDEX(T2_Rente,8)+0.000005)-Berekening!M10)),1000000000000),IF((INDEX(T2_Rente,8)-0.005+0.000005)&gt;Berekening!M10,(Berekening!M45-(INDEX(T2_Rente,8)-0.005+0.000005)*Berekening!M46)/(360*((INDEX(T2_Rente,8)-0.005+0.000005)-Berekening!M10)),1000000000000))</f>
        <v>1000000000000</v>
      </c>
    </row>
    <row r="101" customFormat="false" ht="15" hidden="false" customHeight="false" outlineLevel="0" collapsed="false">
      <c r="A101" s="9" t="s">
        <v>330</v>
      </c>
      <c r="B101" s="19" t="s">
        <v>101</v>
      </c>
      <c r="C101" s="29" t="n">
        <f aca="false">IF(C99&gt;C100,-1,IF(C98&lt;C99-0.000000001,-1,IF(C98&gt;C100,MAX(C99,C100-1),C98)))</f>
        <v>-1</v>
      </c>
      <c r="D101" s="29" t="n">
        <f aca="false">IF(D99&gt;D100,-1,IF(D98&lt;D99-0.000000001,-1,IF(D98&gt;D100,MAX(D99,D100-1),D98)))</f>
        <v>-1</v>
      </c>
      <c r="E101" s="29" t="n">
        <f aca="false">IF(E99&gt;E100,-1,IF(E98&lt;E99-0.000000001,-1,IF(E98&gt;E100,MAX(E99,E100-1),E98)))</f>
        <v>571267.370709619</v>
      </c>
      <c r="F101" s="29" t="n">
        <f aca="false">IF(F99&gt;F100,-1,IF(F98&lt;F99-0.000000001,-1,IF(F98&gt;F100,MAX(F99,F100-1),F98)))</f>
        <v>-1</v>
      </c>
      <c r="G101" s="29" t="n">
        <f aca="false">IF(G99&gt;G100,-1,IF(G98&lt;G99-0.000000001,-1,IF(G98&gt;G100,MAX(G99,G100-1),G98)))</f>
        <v>351127.117076354</v>
      </c>
      <c r="H101" s="29" t="n">
        <f aca="false">IF(H99&gt;H100,-1,IF(H98&lt;H99-0.000000001,-1,IF(H98&gt;H100,MAX(H99,H100-1),H98)))</f>
        <v>884744.59298035</v>
      </c>
      <c r="I101" s="29" t="n">
        <f aca="false">IF(I99&gt;I100,-1,IF(I98&lt;I99-0.000000001,-1,IF(I98&gt;I100,MAX(I99,I100-1),I98)))</f>
        <v>1246686.82082184</v>
      </c>
      <c r="J101" s="29" t="n">
        <f aca="false">IF(J99&gt;J100,-1,IF(J98&lt;J99-0.000000001,-1,IF(J98&gt;J100,MAX(J99,J100-1),J98)))</f>
        <v>-1</v>
      </c>
      <c r="K101" s="29" t="n">
        <f aca="false">IF(K99&gt;K100,-1,IF(K98&lt;K99-0.000000001,-1,IF(K98&gt;K100,MAX(K99,K100-1),K98)))</f>
        <v>483532.449086637</v>
      </c>
      <c r="L101" s="29" t="n">
        <f aca="false">IF(L99&gt;L100,-1,IF(L98&lt;L99-0.000000001,-1,IF(L98&gt;L100,MAX(L99,L100-1),L98)))</f>
        <v>-1</v>
      </c>
      <c r="M101" s="29" t="n">
        <f aca="false">IF(M99&gt;M100,-1,IF(M98&lt;M99-0.000000001,-1,IF(M98&gt;M100,MAX(M99,M100-1),M98)))</f>
        <v>-1</v>
      </c>
    </row>
    <row r="102" customFormat="false" ht="15" hidden="false" customHeight="false" outlineLevel="0" collapsed="false">
      <c r="A102" s="9" t="s">
        <v>331</v>
      </c>
      <c r="B102" s="19" t="s">
        <v>157</v>
      </c>
      <c r="C102" s="38" t="n">
        <f aca="false">INDEX(T2_Tabel,Berekening!C95,9)+(Berekening!C94-INDEX(T2_Inkomen,Berekening!C95))/(INDEX(T2_Inkomen,Berekening!C95+1)-INDEX(T2_Inkomen,Berekening!C95))*(INDEX(T2_Tabel,Berekening!C95+1,9)-INDEX(T2_Tabel,Berekening!C95,9))</f>
        <v>0.3855</v>
      </c>
      <c r="D102" s="38" t="n">
        <f aca="false">INDEX(T2_Tabel,Berekening!D95,9)+(Berekening!D94-INDEX(T2_Inkomen,Berekening!D95))/(INDEX(T2_Inkomen,Berekening!D95+1)-INDEX(T2_Inkomen,Berekening!D95))*(INDEX(T2_Tabel,Berekening!D95+1,9)-INDEX(T2_Tabel,Berekening!D95,9))</f>
        <v>0.3855</v>
      </c>
      <c r="E102" s="38" t="n">
        <f aca="false">INDEX(T2_Tabel,Berekening!E95,9)+(Berekening!E94-INDEX(T2_Inkomen,Berekening!E95))/(INDEX(T2_Inkomen,Berekening!E95+1)-INDEX(T2_Inkomen,Berekening!E95))*(INDEX(T2_Tabel,Berekening!E95+1,9)-INDEX(T2_Tabel,Berekening!E95,9))</f>
        <v>0.3855</v>
      </c>
      <c r="F102" s="38" t="n">
        <f aca="false">INDEX(T2_Tabel,Berekening!F95,9)+(Berekening!F94-INDEX(T2_Inkomen,Berekening!F95))/(INDEX(T2_Inkomen,Berekening!F95+1)-INDEX(T2_Inkomen,Berekening!F95))*(INDEX(T2_Tabel,Berekening!F95+1,9)-INDEX(T2_Tabel,Berekening!F95,9))</f>
        <v>0.3855</v>
      </c>
      <c r="G102" s="38" t="n">
        <f aca="false">INDEX(T2_Tabel,Berekening!G95,9)+(Berekening!G94-INDEX(T2_Inkomen,Berekening!G95))/(INDEX(T2_Inkomen,Berekening!G95+1)-INDEX(T2_Inkomen,Berekening!G95))*(INDEX(T2_Tabel,Berekening!G95+1,9)-INDEX(T2_Tabel,Berekening!G95,9))</f>
        <v>0.349</v>
      </c>
      <c r="H102" s="38" t="n">
        <f aca="false">INDEX(T2_Tabel,Berekening!H95,9)+(Berekening!H94-INDEX(T2_Inkomen,Berekening!H95))/(INDEX(T2_Inkomen,Berekening!H95+1)-INDEX(T2_Inkomen,Berekening!H95))*(INDEX(T2_Tabel,Berekening!H95+1,9)-INDEX(T2_Tabel,Berekening!H95,9))</f>
        <v>0.3855</v>
      </c>
      <c r="I102" s="38" t="n">
        <f aca="false">INDEX(T2_Tabel,Berekening!I95,9)+(Berekening!I94-INDEX(T2_Inkomen,Berekening!I95))/(INDEX(T2_Inkomen,Berekening!I95+1)-INDEX(T2_Inkomen,Berekening!I95))*(INDEX(T2_Tabel,Berekening!I95+1,9)-INDEX(T2_Tabel,Berekening!I95,9))</f>
        <v>0.3855</v>
      </c>
      <c r="J102" s="38" t="n">
        <f aca="false">INDEX(T2_Tabel,Berekening!J95,9)+(Berekening!J94-INDEX(T2_Inkomen,Berekening!J95))/(INDEX(T2_Inkomen,Berekening!J95+1)-INDEX(T2_Inkomen,Berekening!J95))*(INDEX(T2_Tabel,Berekening!J95+1,9)-INDEX(T2_Tabel,Berekening!J95,9))</f>
        <v>0.3855</v>
      </c>
      <c r="K102" s="38" t="n">
        <f aca="false">INDEX(T2_Tabel,Berekening!K95,9)+(Berekening!K94-INDEX(T2_Inkomen,Berekening!K95))/(INDEX(T2_Inkomen,Berekening!K95+1)-INDEX(T2_Inkomen,Berekening!K95))*(INDEX(T2_Tabel,Berekening!K95+1,9)-INDEX(T2_Tabel,Berekening!K95,9))</f>
        <v>0.3855</v>
      </c>
      <c r="L102" s="38" t="n">
        <f aca="false">INDEX(T2_Tabel,Berekening!L95,9)+(Berekening!L94-INDEX(T2_Inkomen,Berekening!L95))/(INDEX(T2_Inkomen,Berekening!L95+1)-INDEX(T2_Inkomen,Berekening!L95))*(INDEX(T2_Tabel,Berekening!L95+1,9)-INDEX(T2_Tabel,Berekening!L95,9))</f>
        <v>0.3855</v>
      </c>
      <c r="M102" s="38" t="n">
        <f aca="false">INDEX(T2_Tabel,Berekening!M95,9)+(Berekening!M94-INDEX(T2_Inkomen,Berekening!M95))/(INDEX(T2_Inkomen,Berekening!M95+1)-INDEX(T2_Inkomen,Berekening!M95))*(INDEX(T2_Tabel,Berekening!M95+1,9)-INDEX(T2_Tabel,Berekening!M95,9))</f>
        <v>0.3855</v>
      </c>
    </row>
    <row r="103" customFormat="false" ht="15" hidden="false" customHeight="false" outlineLevel="0" collapsed="false">
      <c r="A103" s="9" t="s">
        <v>332</v>
      </c>
      <c r="B103" s="19" t="s">
        <v>101</v>
      </c>
      <c r="C103" s="29" t="n">
        <f aca="false">MAX(0,(C102*C60/12-Berekening!C18-Berekening!C44)*Berekening!C11-Berekening!C75+C61)</f>
        <v>731918.961657777</v>
      </c>
      <c r="D103" s="29" t="n">
        <f aca="false">MAX(0,(D102*D60/12-Berekening!D18-Berekening!D44)*Berekening!D11-Berekening!D75+D61)</f>
        <v>760970.513611586</v>
      </c>
      <c r="E103" s="29" t="n">
        <f aca="false">MAX(0,(E102*E60/12-Berekening!E18-Berekening!E44)*Berekening!E11-Berekening!E75+E61)</f>
        <v>609271.418319242</v>
      </c>
      <c r="F103" s="29" t="n">
        <f aca="false">MAX(0,(F102*F60/12-Berekening!F18-Berekening!F44)*Berekening!F11-Berekening!F75+F61)</f>
        <v>706657.25764582</v>
      </c>
      <c r="G103" s="29" t="n">
        <f aca="false">MAX(0,(G102*G60/12-Berekening!G18-Berekening!G44)*Berekening!G11-Berekening!G75+G61)</f>
        <v>358848.574368468</v>
      </c>
      <c r="H103" s="29" t="n">
        <f aca="false">MAX(0,(H102*H60/12-Berekening!H18-Berekening!H44)*Berekening!H11-Berekening!H75+H61)</f>
        <v>910080.624720099</v>
      </c>
      <c r="I103" s="29" t="n">
        <f aca="false">MAX(0,(I102*I60/12-Berekening!I18-Berekening!I44)*Berekening!I11-Berekening!I75+I61)</f>
        <v>1284690.86843146</v>
      </c>
      <c r="J103" s="29" t="n">
        <f aca="false">MAX(0,(J102*J60/12-Berekening!J18-Berekening!J44)*Berekening!J11-Berekening!J75+J61)</f>
        <v>285503.991040562</v>
      </c>
      <c r="K103" s="29" t="n">
        <f aca="false">MAX(0,(K102*K60/12-Berekening!K18-Berekening!K44)*Berekening!K11-Berekening!K75+K61)</f>
        <v>521536.49669626</v>
      </c>
      <c r="L103" s="29" t="n">
        <f aca="false">MAX(0,(L102*L60/12-Berekening!L18-Berekening!L44)*Berekening!L11-Berekening!L75+L61)</f>
        <v>0</v>
      </c>
      <c r="M103" s="29" t="n">
        <f aca="false">MAX(0,(M102*M60/12-Berekening!M18-Berekening!M44)*Berekening!M11-Berekening!M75+M61)</f>
        <v>731918.961657777</v>
      </c>
    </row>
    <row r="104" customFormat="false" ht="15" hidden="false" customHeight="false" outlineLevel="0" collapsed="false">
      <c r="A104" s="9" t="s">
        <v>333</v>
      </c>
      <c r="B104" s="19" t="s">
        <v>101</v>
      </c>
      <c r="C104" s="29" t="n">
        <f aca="false">MAX(0,IF((INDEX(T2_Rente,9)+0.000005)&gt;Berekening!C10,(Berekening!C45-(INDEX(T2_Rente,9)+0.000005)*Berekening!C46)/(360*((INDEX(T2_Rente,9)+0.000005)-Berekening!C10)),IF((INDEX(T2_Rente,9)+0.000005)=Berekening!C10,IF(Berekening!C45-(INDEX(T2_Rente,9)+0.000005)*Berekening!C46&lt;=0,-1000000000000,1000000000000),-1000000000000)),IF((INDEX(T2_Rente,9)-0.005+0.000005)&lt;Berekening!C10,(Berekening!C45-(INDEX(T2_Rente,9)-0.005+0.000005)*Berekening!C46)/(360*((INDEX(T2_Rente,9)-0.005+0.000005)-Berekening!C10)),IF((INDEX(T2_Rente,9)-0.005+0.000005)=Berekening!C10,IF(Berekening!C45-(INDEX(T2_Rente,9)-0.005+0.000005)*Berekening!C46&gt;0,-1000000000000,1000000000000),-1000000000000)))</f>
        <v>0</v>
      </c>
      <c r="D104" s="29" t="n">
        <f aca="false">MAX(0,IF((INDEX(T2_Rente,9)+0.000005)&gt;Berekening!D10,(Berekening!D45-(INDEX(T2_Rente,9)+0.000005)*Berekening!D46)/(360*((INDEX(T2_Rente,9)+0.000005)-Berekening!D10)),IF((INDEX(T2_Rente,9)+0.000005)=Berekening!D10,IF(Berekening!D45-(INDEX(T2_Rente,9)+0.000005)*Berekening!D46&lt;=0,-1000000000000,1000000000000),-1000000000000)),IF((INDEX(T2_Rente,9)-0.005+0.000005)&lt;Berekening!D10,(Berekening!D45-(INDEX(T2_Rente,9)-0.005+0.000005)*Berekening!D46)/(360*((INDEX(T2_Rente,9)-0.005+0.000005)-Berekening!D10)),IF((INDEX(T2_Rente,9)-0.005+0.000005)=Berekening!D10,IF(Berekening!D45-(INDEX(T2_Rente,9)-0.005+0.000005)*Berekening!D46&gt;0,-1000000000000,1000000000000),-1000000000000)))</f>
        <v>0</v>
      </c>
      <c r="E104" s="29" t="n">
        <f aca="false">MAX(0,IF((INDEX(T2_Rente,9)+0.000005)&gt;Berekening!E10,(Berekening!E45-(INDEX(T2_Rente,9)+0.000005)*Berekening!E46)/(360*((INDEX(T2_Rente,9)+0.000005)-Berekening!E10)),IF((INDEX(T2_Rente,9)+0.000005)=Berekening!E10,IF(Berekening!E45-(INDEX(T2_Rente,9)+0.000005)*Berekening!E46&lt;=0,-1000000000000,1000000000000),-1000000000000)),IF((INDEX(T2_Rente,9)-0.005+0.000005)&lt;Berekening!E10,(Berekening!E45-(INDEX(T2_Rente,9)-0.005+0.000005)*Berekening!E46)/(360*((INDEX(T2_Rente,9)-0.005+0.000005)-Berekening!E10)),IF((INDEX(T2_Rente,9)-0.005+0.000005)=Berekening!E10,IF(Berekening!E45-(INDEX(T2_Rente,9)-0.005+0.000005)*Berekening!E46&gt;0,-1000000000000,1000000000000),-1000000000000)))</f>
        <v>0</v>
      </c>
      <c r="F104" s="29" t="n">
        <f aca="false">MAX(0,IF((INDEX(T2_Rente,9)+0.000005)&gt;Berekening!F10,(Berekening!F45-(INDEX(T2_Rente,9)+0.000005)*Berekening!F46)/(360*((INDEX(T2_Rente,9)+0.000005)-Berekening!F10)),IF((INDEX(T2_Rente,9)+0.000005)=Berekening!F10,IF(Berekening!F45-(INDEX(T2_Rente,9)+0.000005)*Berekening!F46&lt;=0,-1000000000000,1000000000000),-1000000000000)),IF((INDEX(T2_Rente,9)-0.005+0.000005)&lt;Berekening!F10,(Berekening!F45-(INDEX(T2_Rente,9)-0.005+0.000005)*Berekening!F46)/(360*((INDEX(T2_Rente,9)-0.005+0.000005)-Berekening!F10)),IF((INDEX(T2_Rente,9)-0.005+0.000005)=Berekening!F10,IF(Berekening!F45-(INDEX(T2_Rente,9)-0.005+0.000005)*Berekening!F46&gt;0,-1000000000000,1000000000000),-1000000000000)))</f>
        <v>0</v>
      </c>
      <c r="G104" s="29" t="n">
        <f aca="false">MAX(0,IF((INDEX(T2_Rente,9)+0.000005)&gt;Berekening!G10,(Berekening!G45-(INDEX(T2_Rente,9)+0.000005)*Berekening!G46)/(360*((INDEX(T2_Rente,9)+0.000005)-Berekening!G10)),IF((INDEX(T2_Rente,9)+0.000005)=Berekening!G10,IF(Berekening!G45-(INDEX(T2_Rente,9)+0.000005)*Berekening!G46&lt;=0,-1000000000000,1000000000000),-1000000000000)),IF((INDEX(T2_Rente,9)-0.005+0.000005)&lt;Berekening!G10,(Berekening!G45-(INDEX(T2_Rente,9)-0.005+0.000005)*Berekening!G46)/(360*((INDEX(T2_Rente,9)-0.005+0.000005)-Berekening!G10)),IF((INDEX(T2_Rente,9)-0.005+0.000005)=Berekening!G10,IF(Berekening!G45-(INDEX(T2_Rente,9)-0.005+0.000005)*Berekening!G46&gt;0,-1000000000000,1000000000000),-1000000000000)))</f>
        <v>0</v>
      </c>
      <c r="H104" s="29" t="n">
        <f aca="false">MAX(0,IF((INDEX(T2_Rente,9)+0.000005)&gt;Berekening!H10,(Berekening!H45-(INDEX(T2_Rente,9)+0.000005)*Berekening!H46)/(360*((INDEX(T2_Rente,9)+0.000005)-Berekening!H10)),IF((INDEX(T2_Rente,9)+0.000005)=Berekening!H10,IF(Berekening!H45-(INDEX(T2_Rente,9)+0.000005)*Berekening!H46&lt;=0,-1000000000000,1000000000000),-1000000000000)),IF((INDEX(T2_Rente,9)-0.005+0.000005)&lt;Berekening!H10,(Berekening!H45-(INDEX(T2_Rente,9)-0.005+0.000005)*Berekening!H46)/(360*((INDEX(T2_Rente,9)-0.005+0.000005)-Berekening!H10)),IF((INDEX(T2_Rente,9)-0.005+0.000005)=Berekening!H10,IF(Berekening!H45-(INDEX(T2_Rente,9)-0.005+0.000005)*Berekening!H46&gt;0,-1000000000000,1000000000000),-1000000000000)))</f>
        <v>0</v>
      </c>
      <c r="I104" s="29" t="n">
        <f aca="false">MAX(0,IF((INDEX(T2_Rente,9)+0.000005)&gt;Berekening!I10,(Berekening!I45-(INDEX(T2_Rente,9)+0.000005)*Berekening!I46)/(360*((INDEX(T2_Rente,9)+0.000005)-Berekening!I10)),IF((INDEX(T2_Rente,9)+0.000005)=Berekening!I10,IF(Berekening!I45-(INDEX(T2_Rente,9)+0.000005)*Berekening!I46&lt;=0,-1000000000000,1000000000000),-1000000000000)),IF((INDEX(T2_Rente,9)-0.005+0.000005)&lt;Berekening!I10,(Berekening!I45-(INDEX(T2_Rente,9)-0.005+0.000005)*Berekening!I46)/(360*((INDEX(T2_Rente,9)-0.005+0.000005)-Berekening!I10)),IF((INDEX(T2_Rente,9)-0.005+0.000005)=Berekening!I10,IF(Berekening!I45-(INDEX(T2_Rente,9)-0.005+0.000005)*Berekening!I46&gt;0,-1000000000000,1000000000000),-1000000000000)))</f>
        <v>0</v>
      </c>
      <c r="J104" s="29" t="n">
        <f aca="false">MAX(0,IF((INDEX(T2_Rente,9)+0.000005)&gt;Berekening!J10,(Berekening!J45-(INDEX(T2_Rente,9)+0.000005)*Berekening!J46)/(360*((INDEX(T2_Rente,9)+0.000005)-Berekening!J10)),IF((INDEX(T2_Rente,9)+0.000005)=Berekening!J10,IF(Berekening!J45-(INDEX(T2_Rente,9)+0.000005)*Berekening!J46&lt;=0,-1000000000000,1000000000000),-1000000000000)),IF((INDEX(T2_Rente,9)-0.005+0.000005)&lt;Berekening!J10,(Berekening!J45-(INDEX(T2_Rente,9)-0.005+0.000005)*Berekening!J46)/(360*((INDEX(T2_Rente,9)-0.005+0.000005)-Berekening!J10)),IF((INDEX(T2_Rente,9)-0.005+0.000005)=Berekening!J10,IF(Berekening!J45-(INDEX(T2_Rente,9)-0.005+0.000005)*Berekening!J46&gt;0,-1000000000000,1000000000000),-1000000000000)))</f>
        <v>0</v>
      </c>
      <c r="K104" s="29" t="n">
        <f aca="false">MAX(0,IF((INDEX(T2_Rente,9)+0.000005)&gt;Berekening!K10,(Berekening!K45-(INDEX(T2_Rente,9)+0.000005)*Berekening!K46)/(360*((INDEX(T2_Rente,9)+0.000005)-Berekening!K10)),IF((INDEX(T2_Rente,9)+0.000005)=Berekening!K10,IF(Berekening!K45-(INDEX(T2_Rente,9)+0.000005)*Berekening!K46&lt;=0,-1000000000000,1000000000000),-1000000000000)),IF((INDEX(T2_Rente,9)-0.005+0.000005)&lt;Berekening!K10,(Berekening!K45-(INDEX(T2_Rente,9)-0.005+0.000005)*Berekening!K46)/(360*((INDEX(T2_Rente,9)-0.005+0.000005)-Berekening!K10)),IF((INDEX(T2_Rente,9)-0.005+0.000005)=Berekening!K10,IF(Berekening!K45-(INDEX(T2_Rente,9)-0.005+0.000005)*Berekening!K46&gt;0,-1000000000000,1000000000000),-1000000000000)))</f>
        <v>0</v>
      </c>
      <c r="L104" s="29" t="n">
        <f aca="false">MAX(0,IF((INDEX(T2_Rente,9)+0.000005)&gt;Berekening!L10,(Berekening!L45-(INDEX(T2_Rente,9)+0.000005)*Berekening!L46)/(360*((INDEX(T2_Rente,9)+0.000005)-Berekening!L10)),IF((INDEX(T2_Rente,9)+0.000005)=Berekening!L10,IF(Berekening!L45-(INDEX(T2_Rente,9)+0.000005)*Berekening!L46&lt;=0,-1000000000000,1000000000000),-1000000000000)),IF((INDEX(T2_Rente,9)-0.005+0.000005)&lt;Berekening!L10,(Berekening!L45-(INDEX(T2_Rente,9)-0.005+0.000005)*Berekening!L46)/(360*((INDEX(T2_Rente,9)-0.005+0.000005)-Berekening!L10)),IF((INDEX(T2_Rente,9)-0.005+0.000005)=Berekening!L10,IF(Berekening!L45-(INDEX(T2_Rente,9)-0.005+0.000005)*Berekening!L46&gt;0,-1000000000000,1000000000000),-1000000000000)))</f>
        <v>0</v>
      </c>
      <c r="M104" s="29" t="n">
        <f aca="false">MAX(0,IF((INDEX(T2_Rente,9)+0.000005)&gt;Berekening!M10,(Berekening!M45-(INDEX(T2_Rente,9)+0.000005)*Berekening!M46)/(360*((INDEX(T2_Rente,9)+0.000005)-Berekening!M10)),IF((INDEX(T2_Rente,9)+0.000005)=Berekening!M10,IF(Berekening!M45-(INDEX(T2_Rente,9)+0.000005)*Berekening!M46&lt;=0,-1000000000000,1000000000000),-1000000000000)),IF((INDEX(T2_Rente,9)-0.005+0.000005)&lt;Berekening!M10,(Berekening!M45-(INDEX(T2_Rente,9)-0.005+0.000005)*Berekening!M46)/(360*((INDEX(T2_Rente,9)-0.005+0.000005)-Berekening!M10)),IF((INDEX(T2_Rente,9)-0.005+0.000005)=Berekening!M10,IF(Berekening!M45-(INDEX(T2_Rente,9)-0.005+0.000005)*Berekening!M46&gt;0,-1000000000000,1000000000000),-1000000000000)))</f>
        <v>0</v>
      </c>
    </row>
    <row r="105" customFormat="false" ht="15" hidden="false" customHeight="false" outlineLevel="0" collapsed="false">
      <c r="A105" s="9" t="s">
        <v>334</v>
      </c>
      <c r="B105" s="19" t="s">
        <v>101</v>
      </c>
      <c r="C105" s="29" t="n">
        <f aca="false">MIN(1000000000000,IF((INDEX(T2_Rente,9)+0.000005)&lt;Berekening!C10,(Berekening!C45-(INDEX(T2_Rente,9)+0.000005)*Berekening!C46)/(360*((INDEX(T2_Rente,9)+0.000005)-Berekening!C10)),1000000000000),IF((INDEX(T2_Rente,9)-0.005+0.000005)&gt;Berekening!C10,(Berekening!C45-(INDEX(T2_Rente,9)-0.005+0.000005)*Berekening!C46)/(360*((INDEX(T2_Rente,9)-0.005+0.000005)-Berekening!C10)),1000000000000))</f>
        <v>-3594958.53302952</v>
      </c>
      <c r="D105" s="29" t="n">
        <f aca="false">MIN(1000000000000,IF((INDEX(T2_Rente,9)+0.000005)&lt;Berekening!D10,(Berekening!D45-(INDEX(T2_Rente,9)+0.000005)*Berekening!D46)/(360*((INDEX(T2_Rente,9)+0.000005)-Berekening!D10)),1000000000000),IF((INDEX(T2_Rente,9)-0.005+0.000005)&gt;Berekening!D10,(Berekening!D45-(INDEX(T2_Rente,9)-0.005+0.000005)*Berekening!D46)/(360*((INDEX(T2_Rente,9)-0.005+0.000005)-Berekening!D10)),1000000000000))</f>
        <v>-3595040.50066022</v>
      </c>
      <c r="E105" s="29" t="n">
        <f aca="false">MIN(1000000000000,IF((INDEX(T2_Rente,9)+0.000005)&lt;Berekening!E10,(Berekening!E45-(INDEX(T2_Rente,9)+0.000005)*Berekening!E46)/(360*((INDEX(T2_Rente,9)+0.000005)-Berekening!E10)),1000000000000),IF((INDEX(T2_Rente,9)-0.005+0.000005)&gt;Berekening!E10,(Berekening!E45-(INDEX(T2_Rente,9)-0.005+0.000005)*Berekening!E46)/(360*((INDEX(T2_Rente,9)-0.005+0.000005)-Berekening!E10)),1000000000000))</f>
        <v>-922.460565755087</v>
      </c>
      <c r="F105" s="29" t="n">
        <f aca="false">MIN(1000000000000,IF((INDEX(T2_Rente,9)+0.000005)&lt;Berekening!F10,(Berekening!F45-(INDEX(T2_Rente,9)+0.000005)*Berekening!F46)/(360*((INDEX(T2_Rente,9)+0.000005)-Berekening!F10)),1000000000000),IF((INDEX(T2_Rente,9)-0.005+0.000005)&gt;Berekening!F10,(Berekening!F45-(INDEX(T2_Rente,9)-0.005+0.000005)*Berekening!F46)/(360*((INDEX(T2_Rente,9)-0.005+0.000005)-Berekening!F10)),1000000000000))</f>
        <v>-2232469249.0122</v>
      </c>
      <c r="G105" s="29" t="n">
        <f aca="false">MIN(1000000000000,IF((INDEX(T2_Rente,9)+0.000005)&lt;Berekening!G10,(Berekening!G45-(INDEX(T2_Rente,9)+0.000005)*Berekening!G46)/(360*((INDEX(T2_Rente,9)+0.000005)-Berekening!G10)),1000000000000),IF((INDEX(T2_Rente,9)-0.005+0.000005)&gt;Berekening!G10,(Berekening!G45-(INDEX(T2_Rente,9)-0.005+0.000005)*Berekening!G46)/(360*((INDEX(T2_Rente,9)-0.005+0.000005)-Berekening!G10)),1000000000000))</f>
        <v>0</v>
      </c>
      <c r="H105" s="29" t="n">
        <f aca="false">MIN(1000000000000,IF((INDEX(T2_Rente,9)+0.000005)&lt;Berekening!H10,(Berekening!H45-(INDEX(T2_Rente,9)+0.000005)*Berekening!H46)/(360*((INDEX(T2_Rente,9)+0.000005)-Berekening!H10)),1000000000000),IF((INDEX(T2_Rente,9)-0.005+0.000005)&gt;Berekening!H10,(Berekening!H45-(INDEX(T2_Rente,9)-0.005+0.000005)*Berekening!H46)/(360*((INDEX(T2_Rente,9)-0.005+0.000005)-Berekening!H10)),1000000000000))</f>
        <v>0</v>
      </c>
      <c r="I105" s="29" t="n">
        <f aca="false">MIN(1000000000000,IF((INDEX(T2_Rente,9)+0.000005)&lt;Berekening!I10,(Berekening!I45-(INDEX(T2_Rente,9)+0.000005)*Berekening!I46)/(360*((INDEX(T2_Rente,9)+0.000005)-Berekening!I10)),1000000000000),IF((INDEX(T2_Rente,9)-0.005+0.000005)&gt;Berekening!I10,(Berekening!I45-(INDEX(T2_Rente,9)-0.005+0.000005)*Berekening!I46)/(360*((INDEX(T2_Rente,9)-0.005+0.000005)-Berekening!I10)),1000000000000))</f>
        <v>0</v>
      </c>
      <c r="J105" s="29" t="n">
        <f aca="false">MIN(1000000000000,IF((INDEX(T2_Rente,9)+0.000005)&lt;Berekening!J10,(Berekening!J45-(INDEX(T2_Rente,9)+0.000005)*Berekening!J46)/(360*((INDEX(T2_Rente,9)+0.000005)-Berekening!J10)),1000000000000),IF((INDEX(T2_Rente,9)-0.005+0.000005)&gt;Berekening!J10,(Berekening!J45-(INDEX(T2_Rente,9)-0.005+0.000005)*Berekening!J46)/(360*((INDEX(T2_Rente,9)-0.005+0.000005)-Berekening!J10)),1000000000000))</f>
        <v>-3594958.53302952</v>
      </c>
      <c r="K105" s="29" t="n">
        <f aca="false">MIN(1000000000000,IF((INDEX(T2_Rente,9)+0.000005)&lt;Berekening!K10,(Berekening!K45-(INDEX(T2_Rente,9)+0.000005)*Berekening!K46)/(360*((INDEX(T2_Rente,9)+0.000005)-Berekening!K10)),1000000000000),IF((INDEX(T2_Rente,9)-0.005+0.000005)&gt;Berekening!K10,(Berekening!K45-(INDEX(T2_Rente,9)-0.005+0.000005)*Berekening!K46)/(360*((INDEX(T2_Rente,9)-0.005+0.000005)-Berekening!K10)),1000000000000))</f>
        <v>-764.000715691536</v>
      </c>
      <c r="L105" s="29" t="n">
        <f aca="false">MIN(1000000000000,IF((INDEX(T2_Rente,9)+0.000005)&lt;Berekening!L10,(Berekening!L45-(INDEX(T2_Rente,9)+0.000005)*Berekening!L46)/(360*((INDEX(T2_Rente,9)+0.000005)-Berekening!L10)),1000000000000),IF((INDEX(T2_Rente,9)-0.005+0.000005)&gt;Berekening!L10,(Berekening!L45-(INDEX(T2_Rente,9)-0.005+0.000005)*Berekening!L46)/(360*((INDEX(T2_Rente,9)-0.005+0.000005)-Berekening!L10)),1000000000000))</f>
        <v>-3594958.53302952</v>
      </c>
      <c r="M105" s="29" t="n">
        <f aca="false">MIN(1000000000000,IF((INDEX(T2_Rente,9)+0.000005)&lt;Berekening!M10,(Berekening!M45-(INDEX(T2_Rente,9)+0.000005)*Berekening!M46)/(360*((INDEX(T2_Rente,9)+0.000005)-Berekening!M10)),1000000000000),IF((INDEX(T2_Rente,9)-0.005+0.000005)&gt;Berekening!M10,(Berekening!M45-(INDEX(T2_Rente,9)-0.005+0.000005)*Berekening!M46)/(360*((INDEX(T2_Rente,9)-0.005+0.000005)-Berekening!M10)),1000000000000))</f>
        <v>-3594958.53302952</v>
      </c>
    </row>
    <row r="106" customFormat="false" ht="15" hidden="false" customHeight="false" outlineLevel="0" collapsed="false">
      <c r="A106" s="9" t="s">
        <v>335</v>
      </c>
      <c r="B106" s="19" t="s">
        <v>101</v>
      </c>
      <c r="C106" s="29" t="n">
        <f aca="false">IF(C104&gt;C105,-1,IF(C103&lt;C104-0.000000001,-1,IF(C103&gt;C105,MAX(C104,C105-1),C103)))</f>
        <v>-1</v>
      </c>
      <c r="D106" s="29" t="n">
        <f aca="false">IF(D104&gt;D105,-1,IF(D103&lt;D104-0.000000001,-1,IF(D103&gt;D105,MAX(D104,D105-1),D103)))</f>
        <v>-1</v>
      </c>
      <c r="E106" s="29" t="n">
        <f aca="false">IF(E104&gt;E105,-1,IF(E103&lt;E104-0.000000001,-1,IF(E103&gt;E105,MAX(E104,E105-1),E103)))</f>
        <v>-1</v>
      </c>
      <c r="F106" s="29" t="n">
        <f aca="false">IF(F104&gt;F105,-1,IF(F103&lt;F104-0.000000001,-1,IF(F103&gt;F105,MAX(F104,F105-1),F103)))</f>
        <v>-1</v>
      </c>
      <c r="G106" s="29" t="n">
        <f aca="false">IF(G104&gt;G105,-1,IF(G103&lt;G104-0.000000001,-1,IF(G103&gt;G105,MAX(G104,G105-1),G103)))</f>
        <v>0</v>
      </c>
      <c r="H106" s="29" t="n">
        <f aca="false">IF(H104&gt;H105,-1,IF(H103&lt;H104-0.000000001,-1,IF(H103&gt;H105,MAX(H104,H105-1),H103)))</f>
        <v>0</v>
      </c>
      <c r="I106" s="29" t="n">
        <f aca="false">IF(I104&gt;I105,-1,IF(I103&lt;I104-0.000000001,-1,IF(I103&gt;I105,MAX(I104,I105-1),I103)))</f>
        <v>0</v>
      </c>
      <c r="J106" s="29" t="n">
        <f aca="false">IF(J104&gt;J105,-1,IF(J103&lt;J104-0.000000001,-1,IF(J103&gt;J105,MAX(J104,J105-1),J103)))</f>
        <v>-1</v>
      </c>
      <c r="K106" s="29" t="n">
        <f aca="false">IF(K104&gt;K105,-1,IF(K103&lt;K104-0.000000001,-1,IF(K103&gt;K105,MAX(K104,K105-1),K103)))</f>
        <v>-1</v>
      </c>
      <c r="L106" s="29" t="n">
        <f aca="false">IF(L104&gt;L105,-1,IF(L103&lt;L104-0.000000001,-1,IF(L103&gt;L105,MAX(L104,L105-1),L103)))</f>
        <v>-1</v>
      </c>
      <c r="M106" s="29" t="n">
        <f aca="false">IF(M104&gt;M105,-1,IF(M103&lt;M104-0.000000001,-1,IF(M103&gt;M105,MAX(M104,M105-1),M103)))</f>
        <v>-1</v>
      </c>
    </row>
    <row r="107" customFormat="false" ht="15" hidden="false" customHeight="false" outlineLevel="0" collapsed="false">
      <c r="A107" s="9" t="s">
        <v>336</v>
      </c>
      <c r="B107" s="19" t="s">
        <v>157</v>
      </c>
      <c r="C107" s="38" t="n">
        <f aca="false">INDEX(T2_Tabel,Berekening!C95,10)+(Berekening!C94-INDEX(T2_Inkomen,Berekening!C95))/(INDEX(T2_Inkomen,Berekening!C95+1)-INDEX(T2_Inkomen,Berekening!C95))*(INDEX(T2_Tabel,Berekening!C95+1,10)-INDEX(T2_Tabel,Berekening!C95,10))</f>
        <v>0.396</v>
      </c>
      <c r="D107" s="38" t="n">
        <f aca="false">INDEX(T2_Tabel,Berekening!D95,10)+(Berekening!D94-INDEX(T2_Inkomen,Berekening!D95))/(INDEX(T2_Inkomen,Berekening!D95+1)-INDEX(T2_Inkomen,Berekening!D95))*(INDEX(T2_Tabel,Berekening!D95+1,10)-INDEX(T2_Tabel,Berekening!D95,10))</f>
        <v>0.396</v>
      </c>
      <c r="E107" s="38" t="n">
        <f aca="false">INDEX(T2_Tabel,Berekening!E95,10)+(Berekening!E94-INDEX(T2_Inkomen,Berekening!E95))/(INDEX(T2_Inkomen,Berekening!E95+1)-INDEX(T2_Inkomen,Berekening!E95))*(INDEX(T2_Tabel,Berekening!E95+1,10)-INDEX(T2_Tabel,Berekening!E95,10))</f>
        <v>0.396</v>
      </c>
      <c r="F107" s="38" t="n">
        <f aca="false">INDEX(T2_Tabel,Berekening!F95,10)+(Berekening!F94-INDEX(T2_Inkomen,Berekening!F95))/(INDEX(T2_Inkomen,Berekening!F95+1)-INDEX(T2_Inkomen,Berekening!F95))*(INDEX(T2_Tabel,Berekening!F95+1,10)-INDEX(T2_Tabel,Berekening!F95,10))</f>
        <v>0.396</v>
      </c>
      <c r="G107" s="38" t="n">
        <f aca="false">INDEX(T2_Tabel,Berekening!G95,10)+(Berekening!G94-INDEX(T2_Inkomen,Berekening!G95))/(INDEX(T2_Inkomen,Berekening!G95+1)-INDEX(T2_Inkomen,Berekening!G95))*(INDEX(T2_Tabel,Berekening!G95+1,10)-INDEX(T2_Tabel,Berekening!G95,10))</f>
        <v>0.357</v>
      </c>
      <c r="H107" s="38" t="n">
        <f aca="false">INDEX(T2_Tabel,Berekening!H95,10)+(Berekening!H94-INDEX(T2_Inkomen,Berekening!H95))/(INDEX(T2_Inkomen,Berekening!H95+1)-INDEX(T2_Inkomen,Berekening!H95))*(INDEX(T2_Tabel,Berekening!H95+1,10)-INDEX(T2_Tabel,Berekening!H95,10))</f>
        <v>0.396</v>
      </c>
      <c r="I107" s="38" t="n">
        <f aca="false">INDEX(T2_Tabel,Berekening!I95,10)+(Berekening!I94-INDEX(T2_Inkomen,Berekening!I95))/(INDEX(T2_Inkomen,Berekening!I95+1)-INDEX(T2_Inkomen,Berekening!I95))*(INDEX(T2_Tabel,Berekening!I95+1,10)-INDEX(T2_Tabel,Berekening!I95,10))</f>
        <v>0.396</v>
      </c>
      <c r="J107" s="38" t="n">
        <f aca="false">INDEX(T2_Tabel,Berekening!J95,10)+(Berekening!J94-INDEX(T2_Inkomen,Berekening!J95))/(INDEX(T2_Inkomen,Berekening!J95+1)-INDEX(T2_Inkomen,Berekening!J95))*(INDEX(T2_Tabel,Berekening!J95+1,10)-INDEX(T2_Tabel,Berekening!J95,10))</f>
        <v>0.396</v>
      </c>
      <c r="K107" s="38" t="n">
        <f aca="false">INDEX(T2_Tabel,Berekening!K95,10)+(Berekening!K94-INDEX(T2_Inkomen,Berekening!K95))/(INDEX(T2_Inkomen,Berekening!K95+1)-INDEX(T2_Inkomen,Berekening!K95))*(INDEX(T2_Tabel,Berekening!K95+1,10)-INDEX(T2_Tabel,Berekening!K95,10))</f>
        <v>0.396</v>
      </c>
      <c r="L107" s="38" t="n">
        <f aca="false">INDEX(T2_Tabel,Berekening!L95,10)+(Berekening!L94-INDEX(T2_Inkomen,Berekening!L95))/(INDEX(T2_Inkomen,Berekening!L95+1)-INDEX(T2_Inkomen,Berekening!L95))*(INDEX(T2_Tabel,Berekening!L95+1,10)-INDEX(T2_Tabel,Berekening!L95,10))</f>
        <v>0.396</v>
      </c>
      <c r="M107" s="38" t="n">
        <f aca="false">INDEX(T2_Tabel,Berekening!M95,10)+(Berekening!M94-INDEX(T2_Inkomen,Berekening!M95))/(INDEX(T2_Inkomen,Berekening!M95+1)-INDEX(T2_Inkomen,Berekening!M95))*(INDEX(T2_Tabel,Berekening!M95+1,10)-INDEX(T2_Tabel,Berekening!M95,10))</f>
        <v>0.396</v>
      </c>
    </row>
    <row r="108" customFormat="false" ht="15" hidden="false" customHeight="false" outlineLevel="0" collapsed="false">
      <c r="A108" s="9" t="s">
        <v>337</v>
      </c>
      <c r="B108" s="19" t="s">
        <v>101</v>
      </c>
      <c r="C108" s="29" t="n">
        <f aca="false">MAX(0,(C107*C60/12-Berekening!C18-Berekening!C44)*Berekening!C11-Berekening!C75+C61)</f>
        <v>769923.0092674</v>
      </c>
      <c r="D108" s="29" t="n">
        <f aca="false">MAX(0,(D107*D60/12-Berekening!D18-Berekening!D44)*Berekening!D11-Berekening!D75+D61)</f>
        <v>798974.561221209</v>
      </c>
      <c r="E108" s="29" t="n">
        <f aca="false">MAX(0,(E107*E60/12-Berekening!E18-Berekening!E44)*Berekening!E11-Berekening!E75+E61)</f>
        <v>647275.465928865</v>
      </c>
      <c r="F108" s="29" t="n">
        <f aca="false">MAX(0,(F107*F60/12-Berekening!F18-Berekening!F44)*Berekening!F11-Berekening!F75+F61)</f>
        <v>743331.451001766</v>
      </c>
      <c r="G108" s="29" t="n">
        <f aca="false">MAX(0,(G107*G60/12-Berekening!G18-Berekening!G44)*Berekening!G11-Berekening!G75+G61)</f>
        <v>366570.031660582</v>
      </c>
      <c r="H108" s="29" t="n">
        <f aca="false">MAX(0,(H107*H60/12-Berekening!H18-Berekening!H44)*Berekening!H11-Berekening!H75+H61)</f>
        <v>935416.656459848</v>
      </c>
      <c r="I108" s="29" t="n">
        <f aca="false">MAX(0,(I107*I60/12-Berekening!I18-Berekening!I44)*Berekening!I11-Berekening!I75+I61)</f>
        <v>1322694.91604109</v>
      </c>
      <c r="J108" s="29" t="n">
        <f aca="false">MAX(0,(J107*J60/12-Berekening!J18-Berekening!J44)*Berekening!J11-Berekening!J75+J61)</f>
        <v>310333.302145515</v>
      </c>
      <c r="K108" s="29" t="n">
        <f aca="false">MAX(0,(K107*K60/12-Berekening!K18-Berekening!K44)*Berekening!K11-Berekening!K75+K61)</f>
        <v>559540.544305884</v>
      </c>
      <c r="L108" s="29" t="n">
        <f aca="false">MAX(0,(L107*L60/12-Berekening!L18-Berekening!L44)*Berekening!L11-Berekening!L75+L61)</f>
        <v>0</v>
      </c>
      <c r="M108" s="29" t="n">
        <f aca="false">MAX(0,(M107*M60/12-Berekening!M18-Berekening!M44)*Berekening!M11-Berekening!M75+M61)</f>
        <v>769923.0092674</v>
      </c>
    </row>
    <row r="109" customFormat="false" ht="15" hidden="false" customHeight="false" outlineLevel="0" collapsed="false">
      <c r="A109" s="9" t="s">
        <v>338</v>
      </c>
      <c r="B109" s="19" t="s">
        <v>101</v>
      </c>
      <c r="C109" s="29" t="n">
        <f aca="false">MAX(0,IF((INDEX(T2_Rente,10)-0.005+0.000005)&lt;Berekening!C10,(Berekening!C45-(INDEX(T2_Rente,10)-0.005+0.000005)*Berekening!C46)/(360*((INDEX(T2_Rente,10)-0.005+0.000005)-Berekening!C10)),IF((INDEX(T2_Rente,10)-0.005+0.000005)=Berekening!C10,IF(Berekening!C45-(INDEX(T2_Rente,10)-0.005+0.000005)*Berekening!C46&gt;0,-1000000000000,1000000000000),-1000000000000)))</f>
        <v>0</v>
      </c>
      <c r="D109" s="29" t="n">
        <f aca="false">MAX(0,IF((INDEX(T2_Rente,10)-0.005+0.000005)&lt;Berekening!D10,(Berekening!D45-(INDEX(T2_Rente,10)-0.005+0.000005)*Berekening!D46)/(360*((INDEX(T2_Rente,10)-0.005+0.000005)-Berekening!D10)),IF((INDEX(T2_Rente,10)-0.005+0.000005)=Berekening!D10,IF(Berekening!D45-(INDEX(T2_Rente,10)-0.005+0.000005)*Berekening!D46&gt;0,-1000000000000,1000000000000),-1000000000000)))</f>
        <v>0</v>
      </c>
      <c r="E109" s="29" t="n">
        <f aca="false">MAX(0,IF((INDEX(T2_Rente,10)-0.005+0.000005)&lt;Berekening!E10,(Berekening!E45-(INDEX(T2_Rente,10)-0.005+0.000005)*Berekening!E46)/(360*((INDEX(T2_Rente,10)-0.005+0.000005)-Berekening!E10)),IF((INDEX(T2_Rente,10)-0.005+0.000005)=Berekening!E10,IF(Berekening!E45-(INDEX(T2_Rente,10)-0.005+0.000005)*Berekening!E46&gt;0,-1000000000000,1000000000000),-1000000000000)))</f>
        <v>0</v>
      </c>
      <c r="F109" s="29" t="n">
        <f aca="false">MAX(0,IF((INDEX(T2_Rente,10)-0.005+0.000005)&lt;Berekening!F10,(Berekening!F45-(INDEX(T2_Rente,10)-0.005+0.000005)*Berekening!F46)/(360*((INDEX(T2_Rente,10)-0.005+0.000005)-Berekening!F10)),IF((INDEX(T2_Rente,10)-0.005+0.000005)=Berekening!F10,IF(Berekening!F45-(INDEX(T2_Rente,10)-0.005+0.000005)*Berekening!F46&gt;0,-1000000000000,1000000000000),-1000000000000)))</f>
        <v>0</v>
      </c>
      <c r="G109" s="29" t="n">
        <f aca="false">MAX(0,IF((INDEX(T2_Rente,10)-0.005+0.000005)&lt;Berekening!G10,(Berekening!G45-(INDEX(T2_Rente,10)-0.005+0.000005)*Berekening!G46)/(360*((INDEX(T2_Rente,10)-0.005+0.000005)-Berekening!G10)),IF((INDEX(T2_Rente,10)-0.005+0.000005)=Berekening!G10,IF(Berekening!G45-(INDEX(T2_Rente,10)-0.005+0.000005)*Berekening!G46&gt;0,-1000000000000,1000000000000),-1000000000000)))</f>
        <v>0</v>
      </c>
      <c r="H109" s="29" t="n">
        <f aca="false">MAX(0,IF((INDEX(T2_Rente,10)-0.005+0.000005)&lt;Berekening!H10,(Berekening!H45-(INDEX(T2_Rente,10)-0.005+0.000005)*Berekening!H46)/(360*((INDEX(T2_Rente,10)-0.005+0.000005)-Berekening!H10)),IF((INDEX(T2_Rente,10)-0.005+0.000005)=Berekening!H10,IF(Berekening!H45-(INDEX(T2_Rente,10)-0.005+0.000005)*Berekening!H46&gt;0,-1000000000000,1000000000000),-1000000000000)))</f>
        <v>0</v>
      </c>
      <c r="I109" s="29" t="n">
        <f aca="false">MAX(0,IF((INDEX(T2_Rente,10)-0.005+0.000005)&lt;Berekening!I10,(Berekening!I45-(INDEX(T2_Rente,10)-0.005+0.000005)*Berekening!I46)/(360*((INDEX(T2_Rente,10)-0.005+0.000005)-Berekening!I10)),IF((INDEX(T2_Rente,10)-0.005+0.000005)=Berekening!I10,IF(Berekening!I45-(INDEX(T2_Rente,10)-0.005+0.000005)*Berekening!I46&gt;0,-1000000000000,1000000000000),-1000000000000)))</f>
        <v>0</v>
      </c>
      <c r="J109" s="29" t="n">
        <f aca="false">MAX(0,IF((INDEX(T2_Rente,10)-0.005+0.000005)&lt;Berekening!J10,(Berekening!J45-(INDEX(T2_Rente,10)-0.005+0.000005)*Berekening!J46)/(360*((INDEX(T2_Rente,10)-0.005+0.000005)-Berekening!J10)),IF((INDEX(T2_Rente,10)-0.005+0.000005)=Berekening!J10,IF(Berekening!J45-(INDEX(T2_Rente,10)-0.005+0.000005)*Berekening!J46&gt;0,-1000000000000,1000000000000),-1000000000000)))</f>
        <v>0</v>
      </c>
      <c r="K109" s="29" t="n">
        <f aca="false">MAX(0,IF((INDEX(T2_Rente,10)-0.005+0.000005)&lt;Berekening!K10,(Berekening!K45-(INDEX(T2_Rente,10)-0.005+0.000005)*Berekening!K46)/(360*((INDEX(T2_Rente,10)-0.005+0.000005)-Berekening!K10)),IF((INDEX(T2_Rente,10)-0.005+0.000005)=Berekening!K10,IF(Berekening!K45-(INDEX(T2_Rente,10)-0.005+0.000005)*Berekening!K46&gt;0,-1000000000000,1000000000000),-1000000000000)))</f>
        <v>0</v>
      </c>
      <c r="L109" s="29" t="n">
        <f aca="false">MAX(0,IF((INDEX(T2_Rente,10)-0.005+0.000005)&lt;Berekening!L10,(Berekening!L45-(INDEX(T2_Rente,10)-0.005+0.000005)*Berekening!L46)/(360*((INDEX(T2_Rente,10)-0.005+0.000005)-Berekening!L10)),IF((INDEX(T2_Rente,10)-0.005+0.000005)=Berekening!L10,IF(Berekening!L45-(INDEX(T2_Rente,10)-0.005+0.000005)*Berekening!L46&gt;0,-1000000000000,1000000000000),-1000000000000)))</f>
        <v>0</v>
      </c>
      <c r="M109" s="29" t="n">
        <f aca="false">MAX(0,IF((INDEX(T2_Rente,10)-0.005+0.000005)&lt;Berekening!M10,(Berekening!M45-(INDEX(T2_Rente,10)-0.005+0.000005)*Berekening!M46)/(360*((INDEX(T2_Rente,10)-0.005+0.000005)-Berekening!M10)),IF((INDEX(T2_Rente,10)-0.005+0.000005)=Berekening!M10,IF(Berekening!M45-(INDEX(T2_Rente,10)-0.005+0.000005)*Berekening!M46&gt;0,-1000000000000,1000000000000),-1000000000000)))</f>
        <v>0</v>
      </c>
    </row>
    <row r="110" customFormat="false" ht="15" hidden="false" customHeight="false" outlineLevel="0" collapsed="false">
      <c r="A110" s="9" t="s">
        <v>339</v>
      </c>
      <c r="B110" s="19" t="s">
        <v>101</v>
      </c>
      <c r="C110" s="29" t="n">
        <f aca="false">MIN(1000000000000,IF((INDEX(T2_Rente,10)-0.005+0.000005)&gt;Berekening!C10,(Berekening!C45-(INDEX(T2_Rente,10)-0.005+0.000005)*Berekening!C46)/(360*((INDEX(T2_Rente,10)-0.005+0.000005)-Berekening!C10)),1000000000000))</f>
        <v>-1730609.04401275</v>
      </c>
      <c r="D110" s="29" t="n">
        <f aca="false">MIN(1000000000000,IF((INDEX(T2_Rente,10)-0.005+0.000005)&gt;Berekening!D10,(Berekening!D45-(INDEX(T2_Rente,10)-0.005+0.000005)*Berekening!D46)/(360*((INDEX(T2_Rente,10)-0.005+0.000005)-Berekening!D10)),1000000000000))</f>
        <v>-1762041.98698951</v>
      </c>
      <c r="E110" s="29" t="n">
        <f aca="false">MIN(1000000000000,IF((INDEX(T2_Rente,10)-0.005+0.000005)&gt;Berekening!E10,(Berekening!E45-(INDEX(T2_Rente,10)-0.005+0.000005)*Berekening!E46)/(360*((INDEX(T2_Rente,10)-0.005+0.000005)-Berekening!E10)),1000000000000))</f>
        <v>-353745.132229899</v>
      </c>
      <c r="F110" s="29" t="n">
        <f aca="false">MIN(1000000000000,IF((INDEX(T2_Rente,10)-0.005+0.000005)&gt;Berekening!F10,(Berekening!F45-(INDEX(T2_Rente,10)-0.005+0.000005)*Berekening!F46)/(360*((INDEX(T2_Rente,10)-0.005+0.000005)-Berekening!F10)),1000000000000))</f>
        <v>-2802514.74559907</v>
      </c>
      <c r="G110" s="29" t="n">
        <f aca="false">MIN(1000000000000,IF((INDEX(T2_Rente,10)-0.005+0.000005)&gt;Berekening!G10,(Berekening!G45-(INDEX(T2_Rente,10)-0.005+0.000005)*Berekening!G46)/(360*((INDEX(T2_Rente,10)-0.005+0.000005)-Berekening!G10)),1000000000000))</f>
        <v>0</v>
      </c>
      <c r="H110" s="29" t="n">
        <f aca="false">MIN(1000000000000,IF((INDEX(T2_Rente,10)-0.005+0.000005)&gt;Berekening!H10,(Berekening!H45-(INDEX(T2_Rente,10)-0.005+0.000005)*Berekening!H46)/(360*((INDEX(T2_Rente,10)-0.005+0.000005)-Berekening!H10)),1000000000000))</f>
        <v>0</v>
      </c>
      <c r="I110" s="29" t="n">
        <f aca="false">MIN(1000000000000,IF((INDEX(T2_Rente,10)-0.005+0.000005)&gt;Berekening!I10,(Berekening!I45-(INDEX(T2_Rente,10)-0.005+0.000005)*Berekening!I46)/(360*((INDEX(T2_Rente,10)-0.005+0.000005)-Berekening!I10)),1000000000000))</f>
        <v>0</v>
      </c>
      <c r="J110" s="29" t="n">
        <f aca="false">MIN(1000000000000,IF((INDEX(T2_Rente,10)-0.005+0.000005)&gt;Berekening!J10,(Berekening!J45-(INDEX(T2_Rente,10)-0.005+0.000005)*Berekening!J46)/(360*((INDEX(T2_Rente,10)-0.005+0.000005)-Berekening!J10)),1000000000000))</f>
        <v>-1730609.04401275</v>
      </c>
      <c r="K110" s="29" t="n">
        <f aca="false">MIN(1000000000000,IF((INDEX(T2_Rente,10)-0.005+0.000005)&gt;Berekening!K10,(Berekening!K45-(INDEX(T2_Rente,10)-0.005+0.000005)*Berekening!K46)/(360*((INDEX(T2_Rente,10)-0.005+0.000005)-Berekening!K10)),1000000000000))</f>
        <v>-292978.956748235</v>
      </c>
      <c r="L110" s="29" t="n">
        <f aca="false">MIN(1000000000000,IF((INDEX(T2_Rente,10)-0.005+0.000005)&gt;Berekening!L10,(Berekening!L45-(INDEX(T2_Rente,10)-0.005+0.000005)*Berekening!L46)/(360*((INDEX(T2_Rente,10)-0.005+0.000005)-Berekening!L10)),1000000000000))</f>
        <v>-1730609.04401275</v>
      </c>
      <c r="M110" s="29" t="n">
        <f aca="false">MIN(1000000000000,IF((INDEX(T2_Rente,10)-0.005+0.000005)&gt;Berekening!M10,(Berekening!M45-(INDEX(T2_Rente,10)-0.005+0.000005)*Berekening!M46)/(360*((INDEX(T2_Rente,10)-0.005+0.000005)-Berekening!M10)),1000000000000))</f>
        <v>-1730609.04401275</v>
      </c>
    </row>
    <row r="111" customFormat="false" ht="15" hidden="false" customHeight="false" outlineLevel="0" collapsed="false">
      <c r="A111" s="9" t="s">
        <v>340</v>
      </c>
      <c r="B111" s="19" t="s">
        <v>101</v>
      </c>
      <c r="C111" s="29" t="n">
        <f aca="false">IF(C109&gt;C110,-1,IF(C108&lt;C109-0.000000001,-1,IF(C108&gt;C110,MAX(C109,C110-1),C108)))</f>
        <v>-1</v>
      </c>
      <c r="D111" s="29" t="n">
        <f aca="false">IF(D109&gt;D110,-1,IF(D108&lt;D109-0.000000001,-1,IF(D108&gt;D110,MAX(D109,D110-1),D108)))</f>
        <v>-1</v>
      </c>
      <c r="E111" s="29" t="n">
        <f aca="false">IF(E109&gt;E110,-1,IF(E108&lt;E109-0.000000001,-1,IF(E108&gt;E110,MAX(E109,E110-1),E108)))</f>
        <v>-1</v>
      </c>
      <c r="F111" s="29" t="n">
        <f aca="false">IF(F109&gt;F110,-1,IF(F108&lt;F109-0.000000001,-1,IF(F108&gt;F110,MAX(F109,F110-1),F108)))</f>
        <v>-1</v>
      </c>
      <c r="G111" s="29" t="n">
        <f aca="false">IF(G109&gt;G110,-1,IF(G108&lt;G109-0.000000001,-1,IF(G108&gt;G110,MAX(G109,G110-1),G108)))</f>
        <v>0</v>
      </c>
      <c r="H111" s="29" t="n">
        <f aca="false">IF(H109&gt;H110,-1,IF(H108&lt;H109-0.000000001,-1,IF(H108&gt;H110,MAX(H109,H110-1),H108)))</f>
        <v>0</v>
      </c>
      <c r="I111" s="29" t="n">
        <f aca="false">IF(I109&gt;I110,-1,IF(I108&lt;I109-0.000000001,-1,IF(I108&gt;I110,MAX(I109,I110-1),I108)))</f>
        <v>0</v>
      </c>
      <c r="J111" s="29" t="n">
        <f aca="false">IF(J109&gt;J110,-1,IF(J108&lt;J109-0.000000001,-1,IF(J108&gt;J110,MAX(J109,J110-1),J108)))</f>
        <v>-1</v>
      </c>
      <c r="K111" s="29" t="n">
        <f aca="false">IF(K109&gt;K110,-1,IF(K108&lt;K109-0.000000001,-1,IF(K108&gt;K110,MAX(K109,K110-1),K108)))</f>
        <v>-1</v>
      </c>
      <c r="L111" s="29" t="n">
        <f aca="false">IF(L109&gt;L110,-1,IF(L108&lt;L109-0.000000001,-1,IF(L108&gt;L110,MAX(L109,L110-1),L108)))</f>
        <v>-1</v>
      </c>
      <c r="M111" s="29" t="n">
        <f aca="false">IF(M109&gt;M110,-1,IF(M108&lt;M109-0.000000001,-1,IF(M108&gt;M110,MAX(M109,M110-1),M108)))</f>
        <v>-1</v>
      </c>
    </row>
    <row r="112" customFormat="false" ht="15" hidden="false" customHeight="false" outlineLevel="0" collapsed="false">
      <c r="A112" s="5" t="s">
        <v>341</v>
      </c>
      <c r="B112" s="19" t="s">
        <v>101</v>
      </c>
      <c r="C112" s="35" t="n">
        <f aca="false">MAX(0,C66,C71,C76,C81,C86,C91,C96,C101,C106,C111)</f>
        <v>607048.519511873</v>
      </c>
      <c r="D112" s="35" t="n">
        <f aca="false">MAX(0,D66,D71,D76,D81,D86,D91,D96,D101,D106,D111)</f>
        <v>636100.071465681</v>
      </c>
      <c r="E112" s="35" t="n">
        <f aca="false">MAX(0,E66,E71,E76,E81,E86,E91,E96,E101,E106,E111)</f>
        <v>571267.370709619</v>
      </c>
      <c r="F112" s="35" t="n">
        <f aca="false">MAX(0,F66,F71,F76,F81,F86,F91,F96,F101,F106,F111)</f>
        <v>628069.700454507</v>
      </c>
      <c r="G112" s="35" t="n">
        <f aca="false">MAX(0,G66,G71,G76,G81,G86,G91,G96,G101,G106,G111)</f>
        <v>351127.117076354</v>
      </c>
      <c r="H112" s="35" t="n">
        <f aca="false">MAX(0,H66,H71,H76,H81,H86,H91,H96,H101,H106,H111)</f>
        <v>884744.59298035</v>
      </c>
      <c r="I112" s="35" t="n">
        <f aca="false">MAX(0,I66,I71,I76,I81,I86,I91,I96,I101,I106,I111)</f>
        <v>1246686.82082184</v>
      </c>
      <c r="J112" s="35" t="n">
        <f aca="false">MAX(0,J66,J71,J76,J81,J86,J91,J96,J101,J106,J111)</f>
        <v>173180.916994343</v>
      </c>
      <c r="K112" s="35" t="n">
        <f aca="false">MAX(0,K66,K71,K76,K81,K86,K91,K96,K101,K106,K111)</f>
        <v>483532.449086637</v>
      </c>
      <c r="L112" s="35" t="n">
        <f aca="false">MAX(0,L66,L71,L76,L81,L86,L91,L96,L101,L106,L111)</f>
        <v>0</v>
      </c>
      <c r="M112" s="35" t="n">
        <f aca="false">MAX(0,M66,M71,M76,M81,M86,M91,M96,M101,M106,M111)</f>
        <v>607048.519511873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true"/>
  </sheetPr>
  <dimension ref="A1:K7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11" min="2" style="0" width="14"/>
  </cols>
  <sheetData>
    <row r="1" customFormat="false" ht="19.7" hidden="false" customHeight="false" outlineLevel="0" collapsed="false">
      <c r="A1" s="1" t="s">
        <v>343</v>
      </c>
    </row>
    <row r="2" customFormat="false" ht="15" hidden="false" customHeight="false" outlineLevel="0" collapsed="false">
      <c r="A2" s="2" t="s">
        <v>344</v>
      </c>
    </row>
    <row r="4" customFormat="false" ht="15" hidden="false" customHeight="false" outlineLevel="0" collapsed="false">
      <c r="A4" s="7" t="s">
        <v>345</v>
      </c>
      <c r="B4" s="7" t="s">
        <v>346</v>
      </c>
      <c r="C4" s="7" t="s">
        <v>347</v>
      </c>
      <c r="D4" s="8"/>
      <c r="E4" s="8"/>
      <c r="F4" s="7" t="s">
        <v>348</v>
      </c>
      <c r="G4" s="8"/>
      <c r="H4" s="8"/>
      <c r="I4" s="8"/>
      <c r="J4" s="8"/>
      <c r="K4" s="8"/>
    </row>
    <row r="5" customFormat="false" ht="15" hidden="false" customHeight="false" outlineLevel="0" collapsed="false">
      <c r="A5" s="9" t="s">
        <v>349</v>
      </c>
      <c r="B5" s="40" t="n">
        <v>0.05</v>
      </c>
      <c r="C5" s="41" t="s">
        <v>350</v>
      </c>
      <c r="D5" s="41"/>
      <c r="E5" s="41"/>
      <c r="F5" s="41" t="s">
        <v>351</v>
      </c>
      <c r="G5" s="41"/>
      <c r="H5" s="41"/>
      <c r="I5" s="41"/>
      <c r="J5" s="41"/>
      <c r="K5" s="41"/>
    </row>
    <row r="6" customFormat="false" ht="15" hidden="false" customHeight="false" outlineLevel="0" collapsed="false">
      <c r="A6" s="9" t="s">
        <v>352</v>
      </c>
      <c r="B6" s="42" t="n">
        <v>360</v>
      </c>
      <c r="C6" s="41" t="s">
        <v>353</v>
      </c>
      <c r="D6" s="41"/>
      <c r="E6" s="41"/>
      <c r="F6" s="41" t="s">
        <v>354</v>
      </c>
      <c r="G6" s="41"/>
      <c r="H6" s="41"/>
      <c r="I6" s="41"/>
      <c r="J6" s="41"/>
      <c r="K6" s="41"/>
    </row>
    <row r="7" customFormat="false" ht="15" hidden="false" customHeight="false" outlineLevel="0" collapsed="false">
      <c r="A7" s="9" t="s">
        <v>355</v>
      </c>
      <c r="B7" s="40" t="n">
        <v>0.02</v>
      </c>
      <c r="C7" s="41" t="s">
        <v>356</v>
      </c>
      <c r="D7" s="41"/>
      <c r="E7" s="41"/>
      <c r="F7" s="41" t="s">
        <v>357</v>
      </c>
      <c r="G7" s="41"/>
      <c r="H7" s="41"/>
      <c r="I7" s="41"/>
      <c r="J7" s="41"/>
      <c r="K7" s="41"/>
    </row>
    <row r="8" customFormat="false" ht="15" hidden="false" customHeight="false" outlineLevel="0" collapsed="false">
      <c r="A8" s="9" t="s">
        <v>358</v>
      </c>
      <c r="B8" s="43" t="n">
        <v>17000</v>
      </c>
      <c r="C8" s="41" t="s">
        <v>359</v>
      </c>
      <c r="D8" s="41"/>
      <c r="E8" s="41"/>
      <c r="F8" s="41" t="s">
        <v>360</v>
      </c>
      <c r="G8" s="41"/>
      <c r="H8" s="41"/>
      <c r="I8" s="41"/>
      <c r="J8" s="41"/>
      <c r="K8" s="41"/>
    </row>
    <row r="9" customFormat="false" ht="15" hidden="false" customHeight="false" outlineLevel="0" collapsed="false">
      <c r="A9" s="9" t="s">
        <v>361</v>
      </c>
      <c r="B9" s="43" t="n">
        <v>30000</v>
      </c>
      <c r="C9" s="41" t="s">
        <v>362</v>
      </c>
      <c r="D9" s="41"/>
      <c r="E9" s="41"/>
      <c r="F9" s="41" t="s">
        <v>363</v>
      </c>
      <c r="G9" s="41"/>
      <c r="H9" s="41"/>
      <c r="I9" s="41"/>
      <c r="J9" s="41"/>
      <c r="K9" s="41"/>
    </row>
    <row r="10" customFormat="false" ht="15" hidden="false" customHeight="false" outlineLevel="0" collapsed="false">
      <c r="A10" s="9" t="s">
        <v>364</v>
      </c>
      <c r="B10" s="43" t="n">
        <v>29000</v>
      </c>
      <c r="C10" s="41" t="s">
        <v>365</v>
      </c>
      <c r="D10" s="41"/>
      <c r="E10" s="41"/>
      <c r="F10" s="41" t="s">
        <v>366</v>
      </c>
      <c r="G10" s="41"/>
      <c r="H10" s="41"/>
      <c r="I10" s="41"/>
      <c r="J10" s="41"/>
      <c r="K10" s="41"/>
    </row>
    <row r="11" customFormat="false" ht="15" hidden="false" customHeight="false" outlineLevel="0" collapsed="false">
      <c r="A11" s="9" t="s">
        <v>367</v>
      </c>
      <c r="B11" s="42" t="n">
        <v>57</v>
      </c>
      <c r="C11" s="41" t="s">
        <v>368</v>
      </c>
      <c r="D11" s="41"/>
      <c r="E11" s="41"/>
      <c r="F11" s="41" t="s">
        <v>369</v>
      </c>
      <c r="G11" s="41"/>
      <c r="H11" s="41"/>
      <c r="I11" s="41"/>
      <c r="J11" s="41"/>
      <c r="K11" s="41"/>
    </row>
    <row r="12" customFormat="false" ht="15" hidden="false" customHeight="false" outlineLevel="0" collapsed="false">
      <c r="A12" s="9" t="s">
        <v>370</v>
      </c>
      <c r="B12" s="40" t="n">
        <v>0.001</v>
      </c>
      <c r="C12" s="41" t="s">
        <v>371</v>
      </c>
      <c r="D12" s="41"/>
      <c r="E12" s="41"/>
      <c r="F12" s="41" t="s">
        <v>372</v>
      </c>
      <c r="G12" s="41"/>
      <c r="H12" s="41"/>
      <c r="I12" s="41"/>
      <c r="J12" s="41"/>
      <c r="K12" s="41"/>
    </row>
    <row r="13" customFormat="false" ht="15" hidden="false" customHeight="false" outlineLevel="0" collapsed="false">
      <c r="A13" s="9" t="s">
        <v>373</v>
      </c>
      <c r="B13" s="40" t="n">
        <v>0.012</v>
      </c>
      <c r="C13" s="41" t="s">
        <v>371</v>
      </c>
      <c r="D13" s="41"/>
      <c r="E13" s="41"/>
      <c r="F13" s="41" t="s">
        <v>374</v>
      </c>
      <c r="G13" s="41"/>
      <c r="H13" s="41"/>
      <c r="I13" s="41"/>
      <c r="J13" s="41"/>
      <c r="K13" s="41"/>
    </row>
    <row r="14" customFormat="false" ht="15" hidden="false" customHeight="false" outlineLevel="0" collapsed="false">
      <c r="A14" s="9" t="s">
        <v>375</v>
      </c>
      <c r="B14" s="44" t="n">
        <v>1</v>
      </c>
      <c r="C14" s="41" t="s">
        <v>376</v>
      </c>
      <c r="D14" s="41"/>
      <c r="E14" s="41"/>
      <c r="F14" s="41" t="s">
        <v>377</v>
      </c>
      <c r="G14" s="41"/>
      <c r="H14" s="41"/>
      <c r="I14" s="41"/>
      <c r="J14" s="41"/>
      <c r="K14" s="41"/>
    </row>
    <row r="16" customFormat="false" ht="15" hidden="false" customHeight="false" outlineLevel="0" collapsed="false">
      <c r="A16" s="7" t="s">
        <v>378</v>
      </c>
      <c r="B16" s="8"/>
      <c r="C16" s="8"/>
      <c r="D16" s="8"/>
    </row>
    <row r="17" customFormat="false" ht="15" hidden="false" customHeight="false" outlineLevel="0" collapsed="false">
      <c r="A17" s="45" t="s">
        <v>95</v>
      </c>
      <c r="B17" s="43" t="n">
        <v>0</v>
      </c>
      <c r="C17" s="19" t="s">
        <v>379</v>
      </c>
    </row>
    <row r="18" customFormat="false" ht="15" hidden="false" customHeight="false" outlineLevel="0" collapsed="false">
      <c r="A18" s="45" t="s">
        <v>380</v>
      </c>
      <c r="B18" s="43" t="n">
        <v>0</v>
      </c>
    </row>
    <row r="19" customFormat="false" ht="15" hidden="false" customHeight="false" outlineLevel="0" collapsed="false">
      <c r="A19" s="45" t="s">
        <v>381</v>
      </c>
      <c r="B19" s="43" t="n">
        <v>0</v>
      </c>
    </row>
    <row r="20" customFormat="false" ht="15" hidden="false" customHeight="false" outlineLevel="0" collapsed="false">
      <c r="A20" s="45" t="s">
        <v>382</v>
      </c>
      <c r="B20" s="43" t="n">
        <v>5000</v>
      </c>
    </row>
    <row r="21" customFormat="false" ht="15" hidden="false" customHeight="false" outlineLevel="0" collapsed="false">
      <c r="A21" s="45" t="s">
        <v>93</v>
      </c>
      <c r="B21" s="43" t="n">
        <v>5000</v>
      </c>
    </row>
    <row r="22" customFormat="false" ht="15" hidden="false" customHeight="false" outlineLevel="0" collapsed="false">
      <c r="A22" s="45" t="s">
        <v>94</v>
      </c>
      <c r="B22" s="43" t="n">
        <v>10000</v>
      </c>
    </row>
    <row r="23" customFormat="false" ht="15" hidden="false" customHeight="false" outlineLevel="0" collapsed="false">
      <c r="A23" s="45" t="s">
        <v>92</v>
      </c>
      <c r="B23" s="43" t="n">
        <v>10000</v>
      </c>
    </row>
    <row r="24" customFormat="false" ht="15" hidden="false" customHeight="false" outlineLevel="0" collapsed="false">
      <c r="A24" s="45" t="s">
        <v>383</v>
      </c>
      <c r="B24" s="43" t="n">
        <v>20000</v>
      </c>
    </row>
    <row r="25" customFormat="false" ht="15" hidden="false" customHeight="false" outlineLevel="0" collapsed="false">
      <c r="A25" s="45" t="s">
        <v>384</v>
      </c>
      <c r="B25" s="43" t="n">
        <v>20000</v>
      </c>
    </row>
    <row r="26" customFormat="false" ht="15" hidden="false" customHeight="false" outlineLevel="0" collapsed="false">
      <c r="A26" s="45" t="s">
        <v>385</v>
      </c>
      <c r="B26" s="43" t="n">
        <v>25000</v>
      </c>
    </row>
    <row r="27" customFormat="false" ht="15" hidden="false" customHeight="false" outlineLevel="0" collapsed="false">
      <c r="A27" s="45" t="s">
        <v>386</v>
      </c>
      <c r="B27" s="43" t="n">
        <v>30000</v>
      </c>
    </row>
    <row r="30" customFormat="false" ht="15" hidden="false" customHeight="false" outlineLevel="0" collapsed="false">
      <c r="A30" s="7" t="s">
        <v>387</v>
      </c>
      <c r="B30" s="8"/>
      <c r="C30" s="8"/>
      <c r="D30" s="8"/>
    </row>
    <row r="31" customFormat="false" ht="15" hidden="false" customHeight="false" outlineLevel="0" collapsed="false">
      <c r="A31" s="5" t="s">
        <v>388</v>
      </c>
      <c r="B31" s="5" t="s">
        <v>235</v>
      </c>
    </row>
    <row r="32" customFormat="false" ht="15" hidden="false" customHeight="false" outlineLevel="0" collapsed="false">
      <c r="A32" s="46" t="n">
        <v>0.015</v>
      </c>
      <c r="B32" s="47" t="n">
        <v>1.05</v>
      </c>
      <c r="C32" s="19" t="s">
        <v>389</v>
      </c>
    </row>
    <row r="33" customFormat="false" ht="15" hidden="false" customHeight="false" outlineLevel="0" collapsed="false">
      <c r="A33" s="46" t="n">
        <v>0.02</v>
      </c>
      <c r="B33" s="47" t="n">
        <v>1.1</v>
      </c>
    </row>
    <row r="34" customFormat="false" ht="15" hidden="false" customHeight="false" outlineLevel="0" collapsed="false">
      <c r="A34" s="46" t="n">
        <v>0.025</v>
      </c>
      <c r="B34" s="47" t="n">
        <v>1.15</v>
      </c>
    </row>
    <row r="35" customFormat="false" ht="15" hidden="false" customHeight="false" outlineLevel="0" collapsed="false">
      <c r="A35" s="46" t="n">
        <v>0.03</v>
      </c>
      <c r="B35" s="47" t="n">
        <v>1.2</v>
      </c>
    </row>
    <row r="36" customFormat="false" ht="15" hidden="false" customHeight="false" outlineLevel="0" collapsed="false">
      <c r="A36" s="46" t="n">
        <v>0.035</v>
      </c>
      <c r="B36" s="47" t="n">
        <v>1.2</v>
      </c>
    </row>
    <row r="37" customFormat="false" ht="15" hidden="false" customHeight="false" outlineLevel="0" collapsed="false">
      <c r="A37" s="46" t="n">
        <v>0.04</v>
      </c>
      <c r="B37" s="47" t="n">
        <v>1.25</v>
      </c>
    </row>
    <row r="38" customFormat="false" ht="15" hidden="false" customHeight="false" outlineLevel="0" collapsed="false">
      <c r="A38" s="46" t="n">
        <v>0.045</v>
      </c>
      <c r="B38" s="47" t="n">
        <v>1.3</v>
      </c>
    </row>
    <row r="39" customFormat="false" ht="15" hidden="false" customHeight="false" outlineLevel="0" collapsed="false">
      <c r="A39" s="46" t="n">
        <v>0.05</v>
      </c>
      <c r="B39" s="47" t="n">
        <v>1.3</v>
      </c>
    </row>
    <row r="40" customFormat="false" ht="15" hidden="false" customHeight="false" outlineLevel="0" collapsed="false">
      <c r="A40" s="46" t="n">
        <v>0.055</v>
      </c>
      <c r="B40" s="47" t="n">
        <v>1.35</v>
      </c>
    </row>
    <row r="41" customFormat="false" ht="15" hidden="false" customHeight="false" outlineLevel="0" collapsed="false">
      <c r="A41" s="46" t="n">
        <v>0.06</v>
      </c>
      <c r="B41" s="47" t="n">
        <v>1.4</v>
      </c>
    </row>
    <row r="42" customFormat="false" ht="15" hidden="false" customHeight="false" outlineLevel="0" collapsed="false">
      <c r="A42" s="46" t="n">
        <v>0.065</v>
      </c>
      <c r="B42" s="47" t="n">
        <v>1.4</v>
      </c>
    </row>
    <row r="43" customFormat="false" ht="15" hidden="false" customHeight="false" outlineLevel="0" collapsed="false">
      <c r="A43" s="48" t="n">
        <v>9.99</v>
      </c>
      <c r="B43" s="47" t="n">
        <v>1.45</v>
      </c>
    </row>
    <row r="46" customFormat="false" ht="15" hidden="false" customHeight="false" outlineLevel="0" collapsed="false">
      <c r="A46" s="7" t="s">
        <v>390</v>
      </c>
      <c r="B46" s="8"/>
      <c r="C46" s="8"/>
      <c r="D46" s="8"/>
      <c r="E46" s="8"/>
      <c r="F46" s="8"/>
      <c r="G46" s="8"/>
      <c r="H46" s="8"/>
      <c r="I46" s="8"/>
      <c r="J46" s="8"/>
      <c r="K46" s="8"/>
    </row>
    <row r="47" customFormat="false" ht="15" hidden="false" customHeight="false" outlineLevel="0" collapsed="false">
      <c r="A47" s="5" t="s">
        <v>391</v>
      </c>
      <c r="B47" s="49" t="n">
        <v>0.015</v>
      </c>
      <c r="C47" s="50" t="n">
        <v>0.02</v>
      </c>
      <c r="D47" s="50" t="n">
        <v>0.025</v>
      </c>
      <c r="E47" s="49" t="n">
        <v>0.03</v>
      </c>
      <c r="F47" s="50" t="n">
        <v>0.035</v>
      </c>
      <c r="G47" s="49" t="n">
        <v>0.04</v>
      </c>
      <c r="H47" s="50" t="n">
        <v>0.045</v>
      </c>
      <c r="I47" s="49" t="n">
        <v>0.05</v>
      </c>
      <c r="J47" s="50" t="n">
        <v>0.055</v>
      </c>
      <c r="K47" s="49" t="n">
        <v>0.06</v>
      </c>
    </row>
    <row r="48" customFormat="false" ht="15" hidden="false" customHeight="false" outlineLevel="0" collapsed="false">
      <c r="A48" s="5" t="s">
        <v>392</v>
      </c>
      <c r="B48" s="51" t="s">
        <v>393</v>
      </c>
      <c r="C48" s="51" t="s">
        <v>394</v>
      </c>
      <c r="D48" s="51" t="s">
        <v>394</v>
      </c>
      <c r="E48" s="51" t="s">
        <v>393</v>
      </c>
      <c r="F48" s="51" t="s">
        <v>394</v>
      </c>
      <c r="G48" s="51" t="s">
        <v>393</v>
      </c>
      <c r="H48" s="51" t="s">
        <v>394</v>
      </c>
      <c r="I48" s="51" t="s">
        <v>393</v>
      </c>
      <c r="J48" s="51" t="s">
        <v>394</v>
      </c>
      <c r="K48" s="51" t="s">
        <v>393</v>
      </c>
    </row>
    <row r="49" customFormat="false" ht="15" hidden="false" customHeight="false" outlineLevel="0" collapsed="false">
      <c r="A49" s="43" t="n">
        <v>30000</v>
      </c>
      <c r="B49" s="52" t="n">
        <v>0.155</v>
      </c>
      <c r="C49" s="53" t="n">
        <f aca="false">B49+(C$47-B$47)/(E$47-B$47)*(E49-B49)</f>
        <v>0.164666666666667</v>
      </c>
      <c r="D49" s="53" t="n">
        <f aca="false">B49+(D$47-B$47)/(E$47-B$47)*(E49-B49)</f>
        <v>0.174333333333333</v>
      </c>
      <c r="E49" s="52" t="n">
        <v>0.184</v>
      </c>
      <c r="F49" s="53" t="n">
        <f aca="false">E49+(F$47-E$47)/(G$47-E$47)*(G49-E49)</f>
        <v>0.1925</v>
      </c>
      <c r="G49" s="52" t="n">
        <v>0.201</v>
      </c>
      <c r="H49" s="53" t="n">
        <f aca="false">G49+(H$47-G$47)/(I$47-G$47)*(I49-G49)</f>
        <v>0.2085</v>
      </c>
      <c r="I49" s="52" t="n">
        <v>0.216</v>
      </c>
      <c r="J49" s="53" t="n">
        <f aca="false">I49+(J$47-I$47)/(K$47-I$47)*(K49-I49)</f>
        <v>0.2215</v>
      </c>
      <c r="K49" s="52" t="n">
        <v>0.227</v>
      </c>
    </row>
    <row r="50" customFormat="false" ht="15" hidden="false" customHeight="false" outlineLevel="0" collapsed="false">
      <c r="A50" s="43" t="n">
        <v>35000</v>
      </c>
      <c r="B50" s="52" t="n">
        <v>0.174</v>
      </c>
      <c r="C50" s="53" t="n">
        <f aca="false">B50+(C$47-B$47)/(E$47-B$47)*(E50-B50)</f>
        <v>0.184666666666667</v>
      </c>
      <c r="D50" s="53" t="n">
        <f aca="false">B50+(D$47-B$47)/(E$47-B$47)*(E50-B50)</f>
        <v>0.195333333333333</v>
      </c>
      <c r="E50" s="52" t="n">
        <v>0.206</v>
      </c>
      <c r="F50" s="53" t="n">
        <f aca="false">E50+(F$47-E$47)/(G$47-E$47)*(G50-E50)</f>
        <v>0.216</v>
      </c>
      <c r="G50" s="52" t="n">
        <v>0.226</v>
      </c>
      <c r="H50" s="53" t="n">
        <f aca="false">G50+(H$47-G$47)/(I$47-G$47)*(I50-G50)</f>
        <v>0.236</v>
      </c>
      <c r="I50" s="52" t="n">
        <v>0.246</v>
      </c>
      <c r="J50" s="53" t="n">
        <f aca="false">I50+(J$47-I$47)/(K$47-I$47)*(K50-I50)</f>
        <v>0.255</v>
      </c>
      <c r="K50" s="52" t="n">
        <v>0.264</v>
      </c>
    </row>
    <row r="51" customFormat="false" ht="15" hidden="false" customHeight="false" outlineLevel="0" collapsed="false">
      <c r="A51" s="43" t="n">
        <v>40000</v>
      </c>
      <c r="B51" s="52" t="n">
        <v>0.174</v>
      </c>
      <c r="C51" s="53" t="n">
        <f aca="false">B51+(C$47-B$47)/(E$47-B$47)*(E51-B51)</f>
        <v>0.184666666666667</v>
      </c>
      <c r="D51" s="53" t="n">
        <f aca="false">B51+(D$47-B$47)/(E$47-B$47)*(E51-B51)</f>
        <v>0.195333333333333</v>
      </c>
      <c r="E51" s="52" t="n">
        <v>0.206</v>
      </c>
      <c r="F51" s="53" t="n">
        <f aca="false">E51+(F$47-E$47)/(G$47-E$47)*(G51-E51)</f>
        <v>0.216</v>
      </c>
      <c r="G51" s="52" t="n">
        <v>0.226</v>
      </c>
      <c r="H51" s="53" t="n">
        <f aca="false">G51+(H$47-G$47)/(I$47-G$47)*(I51-G51)</f>
        <v>0.236</v>
      </c>
      <c r="I51" s="52" t="n">
        <v>0.246</v>
      </c>
      <c r="J51" s="53" t="n">
        <f aca="false">I51+(J$47-I$47)/(K$47-I$47)*(K51-I51)</f>
        <v>0.255</v>
      </c>
      <c r="K51" s="52" t="n">
        <v>0.264</v>
      </c>
    </row>
    <row r="52" customFormat="false" ht="15" hidden="false" customHeight="false" outlineLevel="0" collapsed="false">
      <c r="A52" s="43" t="n">
        <v>45000</v>
      </c>
      <c r="B52" s="52" t="n">
        <v>0.174</v>
      </c>
      <c r="C52" s="53" t="n">
        <f aca="false">B52+(C$47-B$47)/(E$47-B$47)*(E52-B52)</f>
        <v>0.184666666666667</v>
      </c>
      <c r="D52" s="53" t="n">
        <f aca="false">B52+(D$47-B$47)/(E$47-B$47)*(E52-B52)</f>
        <v>0.195333333333333</v>
      </c>
      <c r="E52" s="52" t="n">
        <v>0.206</v>
      </c>
      <c r="F52" s="53" t="n">
        <f aca="false">E52+(F$47-E$47)/(G$47-E$47)*(G52-E52)</f>
        <v>0.216</v>
      </c>
      <c r="G52" s="52" t="n">
        <v>0.226</v>
      </c>
      <c r="H52" s="53" t="n">
        <f aca="false">G52+(H$47-G$47)/(I$47-G$47)*(I52-G52)</f>
        <v>0.236</v>
      </c>
      <c r="I52" s="52" t="n">
        <v>0.246</v>
      </c>
      <c r="J52" s="53" t="n">
        <f aca="false">I52+(J$47-I$47)/(K$47-I$47)*(K52-I52)</f>
        <v>0.255</v>
      </c>
      <c r="K52" s="52" t="n">
        <v>0.264</v>
      </c>
    </row>
    <row r="53" customFormat="false" ht="15" hidden="false" customHeight="false" outlineLevel="0" collapsed="false">
      <c r="A53" s="43" t="n">
        <v>50000</v>
      </c>
      <c r="B53" s="52" t="n">
        <v>0.174</v>
      </c>
      <c r="C53" s="53" t="n">
        <f aca="false">B53+(C$47-B$47)/(E$47-B$47)*(E53-B53)</f>
        <v>0.184666666666667</v>
      </c>
      <c r="D53" s="53" t="n">
        <f aca="false">B53+(D$47-B$47)/(E$47-B$47)*(E53-B53)</f>
        <v>0.195333333333333</v>
      </c>
      <c r="E53" s="52" t="n">
        <v>0.206</v>
      </c>
      <c r="F53" s="53" t="n">
        <f aca="false">E53+(F$47-E$47)/(G$47-E$47)*(G53-E53)</f>
        <v>0.216</v>
      </c>
      <c r="G53" s="52" t="n">
        <v>0.226</v>
      </c>
      <c r="H53" s="53" t="n">
        <f aca="false">G53+(H$47-G$47)/(I$47-G$47)*(I53-G53)</f>
        <v>0.236</v>
      </c>
      <c r="I53" s="52" t="n">
        <v>0.246</v>
      </c>
      <c r="J53" s="53" t="n">
        <f aca="false">I53+(J$47-I$47)/(K$47-I$47)*(K53-I53)</f>
        <v>0.255</v>
      </c>
      <c r="K53" s="52" t="n">
        <v>0.264</v>
      </c>
    </row>
    <row r="54" customFormat="false" ht="15" hidden="false" customHeight="false" outlineLevel="0" collapsed="false">
      <c r="A54" s="43" t="n">
        <v>60000</v>
      </c>
      <c r="B54" s="52" t="n">
        <v>0.177</v>
      </c>
      <c r="C54" s="53" t="n">
        <f aca="false">B54+(C$47-B$47)/(E$47-B$47)*(E54-B54)</f>
        <v>0.187</v>
      </c>
      <c r="D54" s="53" t="n">
        <f aca="false">B54+(D$47-B$47)/(E$47-B$47)*(E54-B54)</f>
        <v>0.197</v>
      </c>
      <c r="E54" s="52" t="n">
        <v>0.207</v>
      </c>
      <c r="F54" s="53" t="n">
        <f aca="false">E54+(F$47-E$47)/(G$47-E$47)*(G54-E54)</f>
        <v>0.2165</v>
      </c>
      <c r="G54" s="52" t="n">
        <v>0.226</v>
      </c>
      <c r="H54" s="53" t="n">
        <f aca="false">G54+(H$47-G$47)/(I$47-G$47)*(I54-G54)</f>
        <v>0.236</v>
      </c>
      <c r="I54" s="52" t="n">
        <v>0.246</v>
      </c>
      <c r="J54" s="53" t="n">
        <f aca="false">I54+(J$47-I$47)/(K$47-I$47)*(K54-I54)</f>
        <v>0.255</v>
      </c>
      <c r="K54" s="52" t="n">
        <v>0.264</v>
      </c>
    </row>
    <row r="55" customFormat="false" ht="15" hidden="false" customHeight="false" outlineLevel="0" collapsed="false">
      <c r="A55" s="43" t="n">
        <v>70000</v>
      </c>
      <c r="B55" s="52" t="n">
        <v>0.186</v>
      </c>
      <c r="C55" s="53" t="n">
        <f aca="false">B55+(C$47-B$47)/(E$47-B$47)*(E55-B55)</f>
        <v>0.196333333333333</v>
      </c>
      <c r="D55" s="53" t="n">
        <f aca="false">B55+(D$47-B$47)/(E$47-B$47)*(E55-B55)</f>
        <v>0.206666666666667</v>
      </c>
      <c r="E55" s="52" t="n">
        <v>0.217</v>
      </c>
      <c r="F55" s="53" t="n">
        <f aca="false">E55+(F$47-E$47)/(G$47-E$47)*(G55-E55)</f>
        <v>0.2265</v>
      </c>
      <c r="G55" s="52" t="n">
        <v>0.236</v>
      </c>
      <c r="H55" s="53" t="n">
        <f aca="false">G55+(H$47-G$47)/(I$47-G$47)*(I55-G55)</f>
        <v>0.2445</v>
      </c>
      <c r="I55" s="52" t="n">
        <v>0.253</v>
      </c>
      <c r="J55" s="53" t="n">
        <f aca="false">I55+(J$47-I$47)/(K$47-I$47)*(K55-I55)</f>
        <v>0.2615</v>
      </c>
      <c r="K55" s="52" t="n">
        <v>0.27</v>
      </c>
    </row>
    <row r="56" customFormat="false" ht="15" hidden="false" customHeight="false" outlineLevel="0" collapsed="false">
      <c r="A56" s="43" t="n">
        <v>80000</v>
      </c>
      <c r="B56" s="52" t="n">
        <v>0.199</v>
      </c>
      <c r="C56" s="53" t="n">
        <f aca="false">B56+(C$47-B$47)/(E$47-B$47)*(E56-B56)</f>
        <v>0.21</v>
      </c>
      <c r="D56" s="53" t="n">
        <f aca="false">B56+(D$47-B$47)/(E$47-B$47)*(E56-B56)</f>
        <v>0.221</v>
      </c>
      <c r="E56" s="52" t="n">
        <v>0.232</v>
      </c>
      <c r="F56" s="53" t="n">
        <f aca="false">E56+(F$47-E$47)/(G$47-E$47)*(G56-E56)</f>
        <v>0.2425</v>
      </c>
      <c r="G56" s="52" t="n">
        <v>0.253</v>
      </c>
      <c r="H56" s="53" t="n">
        <f aca="false">G56+(H$47-G$47)/(I$47-G$47)*(I56-G56)</f>
        <v>0.2625</v>
      </c>
      <c r="I56" s="52" t="n">
        <v>0.272</v>
      </c>
      <c r="J56" s="53" t="n">
        <f aca="false">I56+(J$47-I$47)/(K$47-I$47)*(K56-I56)</f>
        <v>0.2805</v>
      </c>
      <c r="K56" s="52" t="n">
        <v>0.289</v>
      </c>
    </row>
    <row r="57" customFormat="false" ht="15" hidden="false" customHeight="false" outlineLevel="0" collapsed="false">
      <c r="A57" s="43" t="n">
        <v>90000</v>
      </c>
      <c r="B57" s="52" t="n">
        <v>0.205</v>
      </c>
      <c r="C57" s="53" t="n">
        <f aca="false">B57+(C$47-B$47)/(E$47-B$47)*(E57-B57)</f>
        <v>0.215666666666667</v>
      </c>
      <c r="D57" s="53" t="n">
        <f aca="false">B57+(D$47-B$47)/(E$47-B$47)*(E57-B57)</f>
        <v>0.226333333333333</v>
      </c>
      <c r="E57" s="52" t="n">
        <v>0.237</v>
      </c>
      <c r="F57" s="53" t="n">
        <f aca="false">E57+(F$47-E$47)/(G$47-E$47)*(G57-E57)</f>
        <v>0.247</v>
      </c>
      <c r="G57" s="52" t="n">
        <v>0.257</v>
      </c>
      <c r="H57" s="53" t="n">
        <f aca="false">G57+(H$47-G$47)/(I$47-G$47)*(I57-G57)</f>
        <v>0.271</v>
      </c>
      <c r="I57" s="52" t="n">
        <v>0.285</v>
      </c>
      <c r="J57" s="53" t="n">
        <f aca="false">I57+(J$47-I$47)/(K$47-I$47)*(K57-I57)</f>
        <v>0.289</v>
      </c>
      <c r="K57" s="52" t="n">
        <v>0.293</v>
      </c>
    </row>
    <row r="58" customFormat="false" ht="15" hidden="false" customHeight="false" outlineLevel="0" collapsed="false">
      <c r="A58" s="43" t="n">
        <v>100000</v>
      </c>
      <c r="B58" s="52" t="n">
        <v>0.211</v>
      </c>
      <c r="C58" s="53" t="n">
        <f aca="false">B58+(C$47-B$47)/(E$47-B$47)*(E58-B58)</f>
        <v>0.221333333333333</v>
      </c>
      <c r="D58" s="53" t="n">
        <f aca="false">B58+(D$47-B$47)/(E$47-B$47)*(E58-B58)</f>
        <v>0.231666666666667</v>
      </c>
      <c r="E58" s="52" t="n">
        <v>0.242</v>
      </c>
      <c r="F58" s="53" t="n">
        <f aca="false">E58+(F$47-E$47)/(G$47-E$47)*(G58-E58)</f>
        <v>0.2515</v>
      </c>
      <c r="G58" s="52" t="n">
        <v>0.261</v>
      </c>
      <c r="H58" s="53" t="n">
        <f aca="false">G58+(H$47-G$47)/(I$47-G$47)*(I58-G58)</f>
        <v>0.273</v>
      </c>
      <c r="I58" s="52" t="n">
        <v>0.285</v>
      </c>
      <c r="J58" s="53" t="n">
        <f aca="false">I58+(J$47-I$47)/(K$47-I$47)*(K58-I58)</f>
        <v>0.291</v>
      </c>
      <c r="K58" s="52" t="n">
        <v>0.297</v>
      </c>
    </row>
    <row r="59" customFormat="false" ht="15" hidden="false" customHeight="false" outlineLevel="0" collapsed="false">
      <c r="A59" s="43" t="n">
        <v>110000</v>
      </c>
      <c r="B59" s="52" t="n">
        <v>0.216</v>
      </c>
      <c r="C59" s="53" t="n">
        <f aca="false">B59+(C$47-B$47)/(E$47-B$47)*(E59-B59)</f>
        <v>0.226666666666667</v>
      </c>
      <c r="D59" s="53" t="n">
        <f aca="false">B59+(D$47-B$47)/(E$47-B$47)*(E59-B59)</f>
        <v>0.237333333333333</v>
      </c>
      <c r="E59" s="52" t="n">
        <v>0.248</v>
      </c>
      <c r="F59" s="53" t="n">
        <f aca="false">E59+(F$47-E$47)/(G$47-E$47)*(G59-E59)</f>
        <v>0.2575</v>
      </c>
      <c r="G59" s="52" t="n">
        <v>0.267</v>
      </c>
      <c r="H59" s="53" t="n">
        <f aca="false">G59+(H$47-G$47)/(I$47-G$47)*(I59-G59)</f>
        <v>0.276</v>
      </c>
      <c r="I59" s="52" t="n">
        <v>0.285</v>
      </c>
      <c r="J59" s="53" t="n">
        <f aca="false">I59+(J$47-I$47)/(K$47-I$47)*(K59-I59)</f>
        <v>0.2925</v>
      </c>
      <c r="K59" s="52" t="n">
        <v>0.3</v>
      </c>
    </row>
    <row r="60" customFormat="false" ht="15" hidden="false" customHeight="false" outlineLevel="0" collapsed="false">
      <c r="A60" s="43" t="n">
        <v>125000</v>
      </c>
      <c r="B60" s="52" t="n">
        <v>0.222</v>
      </c>
      <c r="C60" s="53" t="n">
        <f aca="false">B60+(C$47-B$47)/(E$47-B$47)*(E60-B60)</f>
        <v>0.233</v>
      </c>
      <c r="D60" s="53" t="n">
        <f aca="false">B60+(D$47-B$47)/(E$47-B$47)*(E60-B60)</f>
        <v>0.244</v>
      </c>
      <c r="E60" s="52" t="n">
        <v>0.255</v>
      </c>
      <c r="F60" s="53" t="n">
        <f aca="false">E60+(F$47-E$47)/(G$47-E$47)*(G60-E60)</f>
        <v>0.2645</v>
      </c>
      <c r="G60" s="52" t="n">
        <v>0.274</v>
      </c>
      <c r="H60" s="53" t="n">
        <f aca="false">G60+(H$47-G$47)/(I$47-G$47)*(I60-G60)</f>
        <v>0.283</v>
      </c>
      <c r="I60" s="52" t="n">
        <v>0.292</v>
      </c>
      <c r="J60" s="53" t="n">
        <f aca="false">I60+(J$47-I$47)/(K$47-I$47)*(K60-I60)</f>
        <v>0.3</v>
      </c>
      <c r="K60" s="52" t="n">
        <v>0.308</v>
      </c>
    </row>
    <row r="61" customFormat="false" ht="15" hidden="false" customHeight="false" outlineLevel="0" collapsed="false">
      <c r="A61" s="19" t="s">
        <v>395</v>
      </c>
    </row>
    <row r="63" customFormat="false" ht="15" hidden="false" customHeight="false" outlineLevel="0" collapsed="false">
      <c r="A63" s="7" t="s">
        <v>396</v>
      </c>
      <c r="B63" s="8"/>
      <c r="C63" s="8"/>
      <c r="D63" s="8"/>
      <c r="E63" s="8"/>
      <c r="F63" s="8"/>
      <c r="G63" s="8"/>
      <c r="H63" s="8"/>
      <c r="I63" s="8"/>
      <c r="J63" s="8"/>
      <c r="K63" s="8"/>
    </row>
    <row r="64" customFormat="false" ht="15" hidden="false" customHeight="false" outlineLevel="0" collapsed="false">
      <c r="A64" s="5" t="s">
        <v>391</v>
      </c>
      <c r="B64" s="49" t="n">
        <v>0.015</v>
      </c>
      <c r="C64" s="50" t="n">
        <v>0.02</v>
      </c>
      <c r="D64" s="50" t="n">
        <v>0.025</v>
      </c>
      <c r="E64" s="49" t="n">
        <v>0.03</v>
      </c>
      <c r="F64" s="50" t="n">
        <v>0.035</v>
      </c>
      <c r="G64" s="49" t="n">
        <v>0.04</v>
      </c>
      <c r="H64" s="50" t="n">
        <v>0.045</v>
      </c>
      <c r="I64" s="49" t="n">
        <v>0.05</v>
      </c>
      <c r="J64" s="50" t="n">
        <v>0.055</v>
      </c>
      <c r="K64" s="49" t="n">
        <v>0.06</v>
      </c>
    </row>
    <row r="65" customFormat="false" ht="15" hidden="false" customHeight="false" outlineLevel="0" collapsed="false">
      <c r="A65" s="5" t="s">
        <v>392</v>
      </c>
      <c r="B65" s="51" t="s">
        <v>393</v>
      </c>
      <c r="C65" s="51" t="s">
        <v>394</v>
      </c>
      <c r="D65" s="51" t="s">
        <v>394</v>
      </c>
      <c r="E65" s="51" t="s">
        <v>393</v>
      </c>
      <c r="F65" s="51" t="s">
        <v>394</v>
      </c>
      <c r="G65" s="51" t="s">
        <v>393</v>
      </c>
      <c r="H65" s="51" t="s">
        <v>394</v>
      </c>
      <c r="I65" s="51" t="s">
        <v>393</v>
      </c>
      <c r="J65" s="51" t="s">
        <v>394</v>
      </c>
      <c r="K65" s="51" t="s">
        <v>393</v>
      </c>
    </row>
    <row r="66" customFormat="false" ht="15" hidden="false" customHeight="false" outlineLevel="0" collapsed="false">
      <c r="A66" s="43" t="n">
        <v>29000</v>
      </c>
      <c r="B66" s="52" t="n">
        <v>0.185</v>
      </c>
      <c r="C66" s="53" t="n">
        <f aca="false">B66+(C$64-B$64)/(E$64-B$64)*(E66-B66)</f>
        <v>0.189</v>
      </c>
      <c r="D66" s="53" t="n">
        <f aca="false">B66+(D$64-B$64)/(E$64-B$64)*(E66-B66)</f>
        <v>0.193</v>
      </c>
      <c r="E66" s="52" t="n">
        <v>0.197</v>
      </c>
      <c r="F66" s="53" t="n">
        <f aca="false">E66+(F$64-E$64)/(G$64-E$64)*(G66-E66)</f>
        <v>0.2005</v>
      </c>
      <c r="G66" s="52" t="n">
        <v>0.204</v>
      </c>
      <c r="H66" s="53" t="n">
        <f aca="false">G66+(H$64-G$64)/(I$64-G$64)*(I66-G66)</f>
        <v>0.2065</v>
      </c>
      <c r="I66" s="52" t="n">
        <v>0.209</v>
      </c>
      <c r="J66" s="53" t="n">
        <f aca="false">I66+(J$64-I$64)/(K$64-I$64)*(K66-I66)</f>
        <v>0.211</v>
      </c>
      <c r="K66" s="52" t="n">
        <v>0.213</v>
      </c>
    </row>
    <row r="67" customFormat="false" ht="15" hidden="false" customHeight="false" outlineLevel="0" collapsed="false">
      <c r="A67" s="43" t="n">
        <v>30000</v>
      </c>
      <c r="B67" s="52" t="n">
        <v>0.192</v>
      </c>
      <c r="C67" s="53" t="n">
        <f aca="false">B67+(C$64-B$64)/(E$64-B$64)*(E67-B67)</f>
        <v>0.197333333333333</v>
      </c>
      <c r="D67" s="53" t="n">
        <f aca="false">B67+(D$64-B$64)/(E$64-B$64)*(E67-B67)</f>
        <v>0.202666666666667</v>
      </c>
      <c r="E67" s="52" t="n">
        <v>0.208</v>
      </c>
      <c r="F67" s="53" t="n">
        <f aca="false">E67+(F$64-E$64)/(G$64-E$64)*(G67-E67)</f>
        <v>0.2115</v>
      </c>
      <c r="G67" s="52" t="n">
        <v>0.215</v>
      </c>
      <c r="H67" s="53" t="n">
        <f aca="false">G67+(H$64-G$64)/(I$64-G$64)*(I67-G67)</f>
        <v>0.218</v>
      </c>
      <c r="I67" s="52" t="n">
        <v>0.221</v>
      </c>
      <c r="J67" s="53" t="n">
        <f aca="false">I67+(J$64-I$64)/(K$64-I$64)*(K67-I67)</f>
        <v>0.223</v>
      </c>
      <c r="K67" s="52" t="n">
        <v>0.225</v>
      </c>
    </row>
    <row r="68" customFormat="false" ht="15" hidden="false" customHeight="false" outlineLevel="0" collapsed="false">
      <c r="A68" s="43" t="n">
        <v>35000</v>
      </c>
      <c r="B68" s="52" t="n">
        <v>0.216</v>
      </c>
      <c r="C68" s="53" t="n">
        <f aca="false">B68+(C$64-B$64)/(E$64-B$64)*(E68-B68)</f>
        <v>0.223666666666667</v>
      </c>
      <c r="D68" s="53" t="n">
        <f aca="false">B68+(D$64-B$64)/(E$64-B$64)*(E68-B68)</f>
        <v>0.231333333333333</v>
      </c>
      <c r="E68" s="52" t="n">
        <v>0.239</v>
      </c>
      <c r="F68" s="53" t="n">
        <f aca="false">E68+(F$64-E$64)/(G$64-E$64)*(G68-E68)</f>
        <v>0.245</v>
      </c>
      <c r="G68" s="52" t="n">
        <v>0.251</v>
      </c>
      <c r="H68" s="53" t="n">
        <f aca="false">G68+(H$64-G$64)/(I$64-G$64)*(I68-G68)</f>
        <v>0.256</v>
      </c>
      <c r="I68" s="52" t="n">
        <v>0.261</v>
      </c>
      <c r="J68" s="53" t="n">
        <f aca="false">I68+(J$64-I$64)/(K$64-I$64)*(K68-I68)</f>
        <v>0.265</v>
      </c>
      <c r="K68" s="52" t="n">
        <v>0.269</v>
      </c>
    </row>
    <row r="69" customFormat="false" ht="15" hidden="false" customHeight="false" outlineLevel="0" collapsed="false">
      <c r="A69" s="43" t="n">
        <v>40000</v>
      </c>
      <c r="B69" s="52" t="n">
        <v>0.222</v>
      </c>
      <c r="C69" s="53" t="n">
        <f aca="false">B69+(C$64-B$64)/(E$64-B$64)*(E69-B69)</f>
        <v>0.232</v>
      </c>
      <c r="D69" s="53" t="n">
        <f aca="false">B69+(D$64-B$64)/(E$64-B$64)*(E69-B69)</f>
        <v>0.242</v>
      </c>
      <c r="E69" s="52" t="n">
        <v>0.252</v>
      </c>
      <c r="F69" s="53" t="n">
        <f aca="false">E69+(F$64-E$64)/(G$64-E$64)*(G69-E69)</f>
        <v>0.2605</v>
      </c>
      <c r="G69" s="52" t="n">
        <v>0.269</v>
      </c>
      <c r="H69" s="53" t="n">
        <f aca="false">G69+(H$64-G$64)/(I$64-G$64)*(I69-G69)</f>
        <v>0.2755</v>
      </c>
      <c r="I69" s="52" t="n">
        <v>0.282</v>
      </c>
      <c r="J69" s="53" t="n">
        <f aca="false">I69+(J$64-I$64)/(K$64-I$64)*(K69-I69)</f>
        <v>0.2875</v>
      </c>
      <c r="K69" s="52" t="n">
        <v>0.293</v>
      </c>
    </row>
    <row r="70" customFormat="false" ht="15" hidden="false" customHeight="false" outlineLevel="0" collapsed="false">
      <c r="A70" s="43" t="n">
        <v>45000</v>
      </c>
      <c r="B70" s="52" t="n">
        <v>0.228</v>
      </c>
      <c r="C70" s="53" t="n">
        <f aca="false">B70+(C$64-B$64)/(E$64-B$64)*(E70-B70)</f>
        <v>0.238333333333333</v>
      </c>
      <c r="D70" s="53" t="n">
        <f aca="false">B70+(D$64-B$64)/(E$64-B$64)*(E70-B70)</f>
        <v>0.248666666666667</v>
      </c>
      <c r="E70" s="52" t="n">
        <v>0.259</v>
      </c>
      <c r="F70" s="53" t="n">
        <f aca="false">E70+(F$64-E$64)/(G$64-E$64)*(G70-E70)</f>
        <v>0.268</v>
      </c>
      <c r="G70" s="52" t="n">
        <v>0.277</v>
      </c>
      <c r="H70" s="53" t="n">
        <f aca="false">G70+(H$64-G$64)/(I$64-G$64)*(I70-G70)</f>
        <v>0.2855</v>
      </c>
      <c r="I70" s="52" t="n">
        <v>0.294</v>
      </c>
      <c r="J70" s="53" t="n">
        <f aca="false">I70+(J$64-I$64)/(K$64-I$64)*(K70-I70)</f>
        <v>0.301</v>
      </c>
      <c r="K70" s="52" t="n">
        <v>0.308</v>
      </c>
    </row>
    <row r="71" customFormat="false" ht="15" hidden="false" customHeight="false" outlineLevel="0" collapsed="false">
      <c r="A71" s="43" t="n">
        <v>50000</v>
      </c>
      <c r="B71" s="52" t="n">
        <v>0.234</v>
      </c>
      <c r="C71" s="53" t="n">
        <f aca="false">B71+(C$64-B$64)/(E$64-B$64)*(E71-B71)</f>
        <v>0.245</v>
      </c>
      <c r="D71" s="53" t="n">
        <f aca="false">B71+(D$64-B$64)/(E$64-B$64)*(E71-B71)</f>
        <v>0.256</v>
      </c>
      <c r="E71" s="52" t="n">
        <v>0.267</v>
      </c>
      <c r="F71" s="53" t="n">
        <f aca="false">E71+(F$64-E$64)/(G$64-E$64)*(G71-E71)</f>
        <v>0.2765</v>
      </c>
      <c r="G71" s="52" t="n">
        <v>0.286</v>
      </c>
      <c r="H71" s="53" t="n">
        <f aca="false">G71+(H$64-G$64)/(I$64-G$64)*(I71-G71)</f>
        <v>0.294</v>
      </c>
      <c r="I71" s="52" t="n">
        <v>0.302</v>
      </c>
      <c r="J71" s="53" t="n">
        <f aca="false">I71+(J$64-I$64)/(K$64-I$64)*(K71-I71)</f>
        <v>0.3095</v>
      </c>
      <c r="K71" s="52" t="n">
        <v>0.317</v>
      </c>
    </row>
    <row r="72" customFormat="false" ht="15" hidden="false" customHeight="false" outlineLevel="0" collapsed="false">
      <c r="A72" s="43" t="n">
        <v>60000</v>
      </c>
      <c r="B72" s="52" t="n">
        <v>0.255</v>
      </c>
      <c r="C72" s="53" t="n">
        <f aca="false">B72+(C$64-B$64)/(E$64-B$64)*(E72-B72)</f>
        <v>0.269666666666667</v>
      </c>
      <c r="D72" s="53" t="n">
        <f aca="false">B72+(D$64-B$64)/(E$64-B$64)*(E72-B72)</f>
        <v>0.284333333333333</v>
      </c>
      <c r="E72" s="52" t="n">
        <v>0.299</v>
      </c>
      <c r="F72" s="53" t="n">
        <f aca="false">E72+(F$64-E$64)/(G$64-E$64)*(G72-E72)</f>
        <v>0.31</v>
      </c>
      <c r="G72" s="52" t="n">
        <v>0.321</v>
      </c>
      <c r="H72" s="53" t="n">
        <f aca="false">G72+(H$64-G$64)/(I$64-G$64)*(I72-G72)</f>
        <v>0.331</v>
      </c>
      <c r="I72" s="52" t="n">
        <v>0.341</v>
      </c>
      <c r="J72" s="53" t="n">
        <f aca="false">I72+(J$64-I$64)/(K$64-I$64)*(K72-I72)</f>
        <v>0.349</v>
      </c>
      <c r="K72" s="52" t="n">
        <v>0.357</v>
      </c>
    </row>
    <row r="73" customFormat="false" ht="15" hidden="false" customHeight="false" outlineLevel="0" collapsed="false">
      <c r="A73" s="43" t="n">
        <v>70000</v>
      </c>
      <c r="B73" s="52" t="n">
        <v>0.262</v>
      </c>
      <c r="C73" s="53" t="n">
        <f aca="false">B73+(C$64-B$64)/(E$64-B$64)*(E73-B73)</f>
        <v>0.279</v>
      </c>
      <c r="D73" s="53" t="n">
        <f aca="false">B73+(D$64-B$64)/(E$64-B$64)*(E73-B73)</f>
        <v>0.296</v>
      </c>
      <c r="E73" s="52" t="n">
        <v>0.313</v>
      </c>
      <c r="F73" s="53" t="n">
        <f aca="false">E73+(F$64-E$64)/(G$64-E$64)*(G73-E73)</f>
        <v>0.328</v>
      </c>
      <c r="G73" s="52" t="n">
        <v>0.343</v>
      </c>
      <c r="H73" s="53" t="n">
        <f aca="false">G73+(H$64-G$64)/(I$64-G$64)*(I73-G73)</f>
        <v>0.356</v>
      </c>
      <c r="I73" s="52" t="n">
        <v>0.369</v>
      </c>
      <c r="J73" s="53" t="n">
        <f aca="false">I73+(J$64-I$64)/(K$64-I$64)*(K73-I73)</f>
        <v>0.379</v>
      </c>
      <c r="K73" s="52" t="n">
        <v>0.389</v>
      </c>
    </row>
    <row r="74" customFormat="false" ht="15" hidden="false" customHeight="false" outlineLevel="0" collapsed="false">
      <c r="A74" s="43" t="n">
        <v>80000</v>
      </c>
      <c r="B74" s="52" t="n">
        <v>0.271</v>
      </c>
      <c r="C74" s="53" t="n">
        <f aca="false">B74+(C$64-B$64)/(E$64-B$64)*(E74-B74)</f>
        <v>0.286333333333333</v>
      </c>
      <c r="D74" s="53" t="n">
        <f aca="false">B74+(D$64-B$64)/(E$64-B$64)*(E74-B74)</f>
        <v>0.301666666666667</v>
      </c>
      <c r="E74" s="52" t="n">
        <v>0.317</v>
      </c>
      <c r="F74" s="53" t="n">
        <f aca="false">E74+(F$64-E$64)/(G$64-E$64)*(G74-E74)</f>
        <v>0.3325</v>
      </c>
      <c r="G74" s="52" t="n">
        <v>0.348</v>
      </c>
      <c r="H74" s="53" t="n">
        <f aca="false">G74+(H$64-G$64)/(I$64-G$64)*(I74-G74)</f>
        <v>0.3605</v>
      </c>
      <c r="I74" s="52" t="n">
        <v>0.373</v>
      </c>
      <c r="J74" s="53" t="n">
        <f aca="false">I74+(J$64-I$64)/(K$64-I$64)*(K74-I74)</f>
        <v>0.384</v>
      </c>
      <c r="K74" s="52" t="n">
        <v>0.395</v>
      </c>
    </row>
    <row r="75" customFormat="false" ht="15" hidden="false" customHeight="false" outlineLevel="0" collapsed="false">
      <c r="A75" s="43" t="n">
        <v>90000</v>
      </c>
      <c r="B75" s="52" t="n">
        <v>0.277</v>
      </c>
      <c r="C75" s="53" t="n">
        <f aca="false">B75+(C$64-B$64)/(E$64-B$64)*(E75-B75)</f>
        <v>0.291666666666667</v>
      </c>
      <c r="D75" s="53" t="n">
        <f aca="false">B75+(D$64-B$64)/(E$64-B$64)*(E75-B75)</f>
        <v>0.306333333333333</v>
      </c>
      <c r="E75" s="52" t="n">
        <v>0.321</v>
      </c>
      <c r="F75" s="53" t="n">
        <f aca="false">E75+(F$64-E$64)/(G$64-E$64)*(G75-E75)</f>
        <v>0.3345</v>
      </c>
      <c r="G75" s="52" t="n">
        <v>0.348</v>
      </c>
      <c r="H75" s="53" t="n">
        <f aca="false">G75+(H$64-G$64)/(I$64-G$64)*(I75-G75)</f>
        <v>0.3605</v>
      </c>
      <c r="I75" s="52" t="n">
        <v>0.373</v>
      </c>
      <c r="J75" s="53" t="n">
        <f aca="false">I75+(J$64-I$64)/(K$64-I$64)*(K75-I75)</f>
        <v>0.384</v>
      </c>
      <c r="K75" s="52" t="n">
        <v>0.395</v>
      </c>
    </row>
    <row r="76" customFormat="false" ht="15" hidden="false" customHeight="false" outlineLevel="0" collapsed="false">
      <c r="A76" s="43" t="n">
        <v>100000</v>
      </c>
      <c r="B76" s="52" t="n">
        <v>0.28</v>
      </c>
      <c r="C76" s="53" t="n">
        <f aca="false">B76+(C$64-B$64)/(E$64-B$64)*(E76-B76)</f>
        <v>0.294333333333333</v>
      </c>
      <c r="D76" s="53" t="n">
        <f aca="false">B76+(D$64-B$64)/(E$64-B$64)*(E76-B76)</f>
        <v>0.308666666666667</v>
      </c>
      <c r="E76" s="52" t="n">
        <v>0.323</v>
      </c>
      <c r="F76" s="53" t="n">
        <f aca="false">E76+(F$64-E$64)/(G$64-E$64)*(G76-E76)</f>
        <v>0.336</v>
      </c>
      <c r="G76" s="52" t="n">
        <v>0.349</v>
      </c>
      <c r="H76" s="53" t="n">
        <f aca="false">G76+(H$64-G$64)/(I$64-G$64)*(I76-G76)</f>
        <v>0.361</v>
      </c>
      <c r="I76" s="52" t="n">
        <v>0.373</v>
      </c>
      <c r="J76" s="53" t="n">
        <f aca="false">I76+(J$64-I$64)/(K$64-I$64)*(K76-I76)</f>
        <v>0.384</v>
      </c>
      <c r="K76" s="52" t="n">
        <v>0.395</v>
      </c>
    </row>
    <row r="77" customFormat="false" ht="15" hidden="false" customHeight="false" outlineLevel="0" collapsed="false">
      <c r="A77" s="43" t="n">
        <v>110000</v>
      </c>
      <c r="B77" s="52" t="n">
        <v>0.284</v>
      </c>
      <c r="C77" s="53" t="n">
        <f aca="false">B77+(C$64-B$64)/(E$64-B$64)*(E77-B77)</f>
        <v>0.297666666666667</v>
      </c>
      <c r="D77" s="53" t="n">
        <f aca="false">B77+(D$64-B$64)/(E$64-B$64)*(E77-B77)</f>
        <v>0.311333333333333</v>
      </c>
      <c r="E77" s="52" t="n">
        <v>0.325</v>
      </c>
      <c r="F77" s="53" t="n">
        <f aca="false">E77+(F$64-E$64)/(G$64-E$64)*(G77-E77)</f>
        <v>0.338</v>
      </c>
      <c r="G77" s="52" t="n">
        <v>0.351</v>
      </c>
      <c r="H77" s="53" t="n">
        <f aca="false">G77+(H$64-G$64)/(I$64-G$64)*(I77-G77)</f>
        <v>0.363</v>
      </c>
      <c r="I77" s="52" t="n">
        <v>0.375</v>
      </c>
      <c r="J77" s="53" t="n">
        <f aca="false">I77+(J$64-I$64)/(K$64-I$64)*(K77-I77)</f>
        <v>0.3855</v>
      </c>
      <c r="K77" s="52" t="n">
        <v>0.396</v>
      </c>
    </row>
    <row r="78" customFormat="false" ht="15" hidden="false" customHeight="false" outlineLevel="0" collapsed="false">
      <c r="A78" s="19" t="s">
        <v>397</v>
      </c>
    </row>
  </sheetData>
  <mergeCells count="20">
    <mergeCell ref="C5:E5"/>
    <mergeCell ref="F5:K5"/>
    <mergeCell ref="C6:E6"/>
    <mergeCell ref="F6:K6"/>
    <mergeCell ref="C7:E7"/>
    <mergeCell ref="F7:K7"/>
    <mergeCell ref="C8:E8"/>
    <mergeCell ref="F8:K8"/>
    <mergeCell ref="C9:E9"/>
    <mergeCell ref="F9:K9"/>
    <mergeCell ref="C10:E10"/>
    <mergeCell ref="F10:K10"/>
    <mergeCell ref="C11:E11"/>
    <mergeCell ref="F11:K11"/>
    <mergeCell ref="C12:E12"/>
    <mergeCell ref="F12:K12"/>
    <mergeCell ref="C13:E13"/>
    <mergeCell ref="F13:K13"/>
    <mergeCell ref="C14:E14"/>
    <mergeCell ref="F14:K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true"/>
  </sheetPr>
  <dimension ref="A1:M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4"/>
    <col collapsed="false" customWidth="true" hidden="false" outlineLevel="0" max="13" min="3" style="0" width="17"/>
  </cols>
  <sheetData>
    <row r="1" customFormat="false" ht="19.7" hidden="false" customHeight="false" outlineLevel="0" collapsed="false">
      <c r="A1" s="1" t="s">
        <v>398</v>
      </c>
    </row>
    <row r="2" customFormat="false" ht="15" hidden="false" customHeight="false" outlineLevel="0" collapsed="false">
      <c r="A2" s="2" t="s">
        <v>399</v>
      </c>
    </row>
    <row r="4" customFormat="false" ht="15" hidden="false" customHeight="false" outlineLevel="0" collapsed="false">
      <c r="A4" s="17" t="s">
        <v>29</v>
      </c>
      <c r="B4" s="17"/>
      <c r="C4" s="18" t="n">
        <f aca="false">Invoer!C4</f>
        <v>1</v>
      </c>
      <c r="D4" s="18" t="n">
        <f aca="false">Invoer!D4</f>
        <v>2</v>
      </c>
      <c r="E4" s="18" t="n">
        <f aca="false">Invoer!E4</f>
        <v>3</v>
      </c>
      <c r="F4" s="18" t="n">
        <f aca="false">Invoer!F4</f>
        <v>4</v>
      </c>
      <c r="G4" s="18" t="n">
        <f aca="false">Invoer!G4</f>
        <v>5</v>
      </c>
      <c r="H4" s="18" t="n">
        <f aca="false">Invoer!H4</f>
        <v>6</v>
      </c>
      <c r="I4" s="18" t="n">
        <f aca="false">Invoer!I4</f>
        <v>7</v>
      </c>
      <c r="J4" s="18" t="n">
        <f aca="false">Invoer!J4</f>
        <v>8</v>
      </c>
      <c r="K4" s="18" t="n">
        <f aca="false">Invoer!K4</f>
        <v>9</v>
      </c>
      <c r="L4" s="18" t="n">
        <f aca="false">Invoer!L4</f>
        <v>10</v>
      </c>
      <c r="M4" s="18" t="n">
        <f aca="false">Invoer!M4</f>
        <v>11</v>
      </c>
    </row>
    <row r="5" customFormat="false" ht="42" hidden="false" customHeight="true" outlineLevel="0" collapsed="false">
      <c r="A5" s="5" t="s">
        <v>30</v>
      </c>
      <c r="C5" s="54" t="str">
        <f aca="false">Invoer!C6</f>
        <v>Mijn dossier</v>
      </c>
      <c r="D5" s="54" t="str">
        <f aca="false">Invoer!D6</f>
        <v>Plafond € 1,5 mln, 30 jaar toetsloptijd</v>
      </c>
      <c r="E5" s="54" t="str">
        <f aca="false">Invoer!E6</f>
        <v>Deel 2 slechts 10 jaar rentevast</v>
      </c>
      <c r="F5" s="54" t="str">
        <f aca="false">Invoer!F6</f>
        <v>Nieuwe hypotheek 5 jaar rentevast</v>
      </c>
      <c r="G5" s="54" t="str">
        <f aca="false">Invoer!G6</f>
        <v>Starter, 1 aanvrager € 60k</v>
      </c>
      <c r="H5" s="54" t="str">
        <f aca="false">Invoer!H6</f>
        <v>Starter, 2 aanvragers, studieschuld</v>
      </c>
      <c r="I5" s="54" t="str">
        <f aca="false">Invoer!I6</f>
        <v>Doorstromer, hypotheek niet meenemen</v>
      </c>
      <c r="J5" s="54" t="str">
        <f aca="false">Invoer!J6</f>
        <v>AOW-toets bindend (leeftijd 60)</v>
      </c>
      <c r="K5" s="54" t="str">
        <f aca="false">Invoer!K6</f>
        <v>3 delen, 2e woning 5 jaar vast, schulden</v>
      </c>
      <c r="L5" s="54" t="str">
        <f aca="false">Invoer!L6</f>
        <v>Hoge schuld: ondergrens € 0</v>
      </c>
      <c r="M5" s="54" t="str">
        <f aca="false">Invoer!M6</f>
        <v>Eigen test</v>
      </c>
    </row>
    <row r="6" customFormat="false" ht="15" hidden="false" customHeight="false" outlineLevel="0" collapsed="false">
      <c r="A6" s="55" t="s">
        <v>347</v>
      </c>
      <c r="C6" s="56" t="str">
        <f aca="false">IF(COUNT(C30:C47)=0,"geen app-waarden",IF(COUNTIF(C51:C68,"FOUT")+COUNTIF(C51:C68,"&gt;"&amp;Tolerantie)+COUNTIF(C51:C68,"&lt;"&amp;-Tolerantie)=0,"OK","AFWIJKING"))</f>
        <v>OK</v>
      </c>
      <c r="D6" s="56" t="str">
        <f aca="false">IF(COUNT(D30:D47)=0,"geen app-waarden",IF(COUNTIF(D51:D68,"FOUT")+COUNTIF(D51:D68,"&gt;"&amp;Tolerantie)+COUNTIF(D51:D68,"&lt;"&amp;-Tolerantie)=0,"OK","AFWIJKING"))</f>
        <v>OK</v>
      </c>
      <c r="E6" s="56" t="str">
        <f aca="false">IF(COUNT(E30:E47)=0,"geen app-waarden",IF(COUNTIF(E51:E68,"FOUT")+COUNTIF(E51:E68,"&gt;"&amp;Tolerantie)+COUNTIF(E51:E68,"&lt;"&amp;-Tolerantie)=0,"OK","AFWIJKING"))</f>
        <v>OK</v>
      </c>
      <c r="F6" s="56" t="str">
        <f aca="false">IF(COUNT(F30:F47)=0,"geen app-waarden",IF(COUNTIF(F51:F68,"FOUT")+COUNTIF(F51:F68,"&gt;"&amp;Tolerantie)+COUNTIF(F51:F68,"&lt;"&amp;-Tolerantie)=0,"OK","AFWIJKING"))</f>
        <v>OK</v>
      </c>
      <c r="G6" s="56" t="str">
        <f aca="false">IF(COUNT(G30:G47)=0,"geen app-waarden",IF(COUNTIF(G51:G68,"FOUT")+COUNTIF(G51:G68,"&gt;"&amp;Tolerantie)+COUNTIF(G51:G68,"&lt;"&amp;-Tolerantie)=0,"OK","AFWIJKING"))</f>
        <v>OK</v>
      </c>
      <c r="H6" s="56" t="str">
        <f aca="false">IF(COUNT(H30:H47)=0,"geen app-waarden",IF(COUNTIF(H51:H68,"FOUT")+COUNTIF(H51:H68,"&gt;"&amp;Tolerantie)+COUNTIF(H51:H68,"&lt;"&amp;-Tolerantie)=0,"OK","AFWIJKING"))</f>
        <v>OK</v>
      </c>
      <c r="I6" s="56" t="str">
        <f aca="false">IF(COUNT(I30:I47)=0,"geen app-waarden",IF(COUNTIF(I51:I68,"FOUT")+COUNTIF(I51:I68,"&gt;"&amp;Tolerantie)+COUNTIF(I51:I68,"&lt;"&amp;-Tolerantie)=0,"OK","AFWIJKING"))</f>
        <v>OK</v>
      </c>
      <c r="J6" s="56" t="str">
        <f aca="false">IF(COUNT(J30:J47)=0,"geen app-waarden",IF(COUNTIF(J51:J68,"FOUT")+COUNTIF(J51:J68,"&gt;"&amp;Tolerantie)+COUNTIF(J51:J68,"&lt;"&amp;-Tolerantie)=0,"OK","AFWIJKING"))</f>
        <v>OK</v>
      </c>
      <c r="K6" s="56" t="str">
        <f aca="false">IF(COUNT(K30:K47)=0,"geen app-waarden",IF(COUNTIF(K51:K68,"FOUT")+COUNTIF(K51:K68,"&gt;"&amp;Tolerantie)+COUNTIF(K51:K68,"&lt;"&amp;-Tolerantie)=0,"OK","AFWIJKING"))</f>
        <v>OK</v>
      </c>
      <c r="L6" s="56" t="str">
        <f aca="false">IF(COUNT(L30:L47)=0,"geen app-waarden",IF(COUNTIF(L51:L68,"FOUT")+COUNTIF(L51:L68,"&gt;"&amp;Tolerantie)+COUNTIF(L51:L68,"&lt;"&amp;-Tolerantie)=0,"OK","AFWIJKING"))</f>
        <v>OK</v>
      </c>
      <c r="M6" s="56" t="str">
        <f aca="false">IF(COUNT(M30:M47)=0,"geen app-waarden",IF(COUNTIF(M51:M68,"FOUT")+COUNTIF(M51:M68,"&gt;"&amp;Tolerantie)+COUNTIF(M51:M68,"&lt;"&amp;-Tolerantie)=0,"OK","AFWIJKING"))</f>
        <v>geen app-waarden</v>
      </c>
    </row>
    <row r="8" customFormat="false" ht="15" hidden="false" customHeight="false" outlineLevel="0" collapsed="false">
      <c r="A8" s="7" t="s">
        <v>400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</row>
    <row r="9" customFormat="false" ht="15" hidden="false" customHeight="false" outlineLevel="0" collapsed="false">
      <c r="A9" s="9" t="s">
        <v>53</v>
      </c>
      <c r="C9" s="57" t="n">
        <f aca="false">Berekening!C9</f>
        <v>225000</v>
      </c>
      <c r="D9" s="57" t="n">
        <f aca="false">Berekening!D9</f>
        <v>225000</v>
      </c>
      <c r="E9" s="57" t="n">
        <f aca="false">Berekening!E9</f>
        <v>225000</v>
      </c>
      <c r="F9" s="57" t="n">
        <f aca="false">Berekening!F9</f>
        <v>225000</v>
      </c>
      <c r="G9" s="57" t="n">
        <f aca="false">Berekening!G9</f>
        <v>60000</v>
      </c>
      <c r="H9" s="57" t="n">
        <f aca="false">Berekening!H9</f>
        <v>150000</v>
      </c>
      <c r="I9" s="57" t="n">
        <f aca="false">Berekening!I9</f>
        <v>225000</v>
      </c>
      <c r="J9" s="57" t="n">
        <f aca="false">Berekening!J9</f>
        <v>225000</v>
      </c>
      <c r="K9" s="57" t="n">
        <f aca="false">Berekening!K9</f>
        <v>225000</v>
      </c>
      <c r="L9" s="57" t="n">
        <f aca="false">Berekening!L9</f>
        <v>225000</v>
      </c>
      <c r="M9" s="57" t="n">
        <f aca="false">Berekening!M9</f>
        <v>225000</v>
      </c>
    </row>
    <row r="10" customFormat="false" ht="15" hidden="false" customHeight="false" outlineLevel="0" collapsed="false">
      <c r="A10" s="9" t="s">
        <v>174</v>
      </c>
      <c r="C10" s="58" t="n">
        <f aca="false">Berekening!C10</f>
        <v>0.0469</v>
      </c>
      <c r="D10" s="58" t="n">
        <f aca="false">Berekening!D10</f>
        <v>0.0469</v>
      </c>
      <c r="E10" s="58" t="n">
        <f aca="false">Berekening!E10</f>
        <v>0.0469</v>
      </c>
      <c r="F10" s="58" t="n">
        <f aca="false">Berekening!F10</f>
        <v>0.05</v>
      </c>
      <c r="G10" s="58" t="n">
        <f aca="false">Berekening!G10</f>
        <v>0.0469</v>
      </c>
      <c r="H10" s="58" t="n">
        <f aca="false">Berekening!H10</f>
        <v>0.0469</v>
      </c>
      <c r="I10" s="58" t="n">
        <f aca="false">Berekening!I10</f>
        <v>0.0469</v>
      </c>
      <c r="J10" s="58" t="n">
        <f aca="false">Berekening!J10</f>
        <v>0.0469</v>
      </c>
      <c r="K10" s="58" t="n">
        <f aca="false">Berekening!K10</f>
        <v>0.0469</v>
      </c>
      <c r="L10" s="58" t="n">
        <f aca="false">Berekening!L10</f>
        <v>0.0469</v>
      </c>
      <c r="M10" s="58" t="n">
        <f aca="false">Berekening!M10</f>
        <v>0.0469</v>
      </c>
    </row>
    <row r="11" customFormat="false" ht="15" hidden="false" customHeight="false" outlineLevel="0" collapsed="false">
      <c r="A11" s="9" t="s">
        <v>401</v>
      </c>
      <c r="C11" s="59" t="n">
        <f aca="false">Berekening!C18</f>
        <v>193.155608922294</v>
      </c>
      <c r="D11" s="59" t="n">
        <f aca="false">Berekening!D18</f>
        <v>193.155608922294</v>
      </c>
      <c r="E11" s="59" t="n">
        <f aca="false">Berekening!E18</f>
        <v>193.155608922294</v>
      </c>
      <c r="F11" s="59" t="n">
        <f aca="false">Berekening!F18</f>
        <v>193.155608922294</v>
      </c>
      <c r="G11" s="59" t="n">
        <f aca="false">Berekening!G18</f>
        <v>0</v>
      </c>
      <c r="H11" s="59" t="n">
        <f aca="false">Berekening!H18</f>
        <v>0</v>
      </c>
      <c r="I11" s="59" t="n">
        <f aca="false">Berekening!I18</f>
        <v>193.155608922294</v>
      </c>
      <c r="J11" s="59" t="n">
        <f aca="false">Berekening!J18</f>
        <v>0</v>
      </c>
      <c r="K11" s="59" t="n">
        <f aca="false">Berekening!K18</f>
        <v>935.465081665099</v>
      </c>
      <c r="L11" s="59" t="n">
        <f aca="false">Berekening!L18</f>
        <v>60000</v>
      </c>
      <c r="M11" s="59" t="n">
        <f aca="false">Berekening!M18</f>
        <v>193.155608922294</v>
      </c>
    </row>
    <row r="12" customFormat="false" ht="15" hidden="false" customHeight="false" outlineLevel="0" collapsed="false">
      <c r="A12" s="9" t="s">
        <v>402</v>
      </c>
      <c r="C12" s="59" t="n">
        <f aca="false">Berekening!C17</f>
        <v>193.155608922294</v>
      </c>
      <c r="D12" s="59" t="n">
        <f aca="false">Berekening!D17</f>
        <v>193.155608922294</v>
      </c>
      <c r="E12" s="59" t="n">
        <f aca="false">Berekening!E17</f>
        <v>193.155608922294</v>
      </c>
      <c r="F12" s="59" t="n">
        <f aca="false">Berekening!F17</f>
        <v>193.155608922294</v>
      </c>
      <c r="G12" s="59" t="n">
        <f aca="false">Berekening!G17</f>
        <v>0</v>
      </c>
      <c r="H12" s="59" t="n">
        <f aca="false">Berekening!H17</f>
        <v>0</v>
      </c>
      <c r="I12" s="59" t="n">
        <f aca="false">Berekening!I17</f>
        <v>193.155608922294</v>
      </c>
      <c r="J12" s="59" t="n">
        <f aca="false">Berekening!J17</f>
        <v>0</v>
      </c>
      <c r="K12" s="59" t="n">
        <f aca="false">Berekening!K17</f>
        <v>225.465081665099</v>
      </c>
      <c r="L12" s="59" t="n">
        <f aca="false">Berekening!L17</f>
        <v>0</v>
      </c>
      <c r="M12" s="59" t="n">
        <f aca="false">Berekening!M17</f>
        <v>193.155608922294</v>
      </c>
    </row>
    <row r="13" customFormat="false" ht="15" hidden="false" customHeight="false" outlineLevel="0" collapsed="false">
      <c r="A13" s="9" t="s">
        <v>403</v>
      </c>
      <c r="C13" s="58" t="n">
        <f aca="false">Berekening!C70</f>
        <v>0.0371653095711625</v>
      </c>
      <c r="D13" s="58" t="n">
        <f aca="false">Berekening!D70</f>
        <v>0.0371653095711625</v>
      </c>
      <c r="E13" s="58" t="n">
        <f aca="false">Berekening!E70</f>
        <v>0.0489402698074602</v>
      </c>
      <c r="F13" s="58" t="n">
        <f aca="false">Berekening!F70</f>
        <v>0.0382250397637023</v>
      </c>
      <c r="G13" s="58" t="n">
        <f aca="false">Berekening!G70</f>
        <v>0.0469</v>
      </c>
      <c r="H13" s="58" t="n">
        <f aca="false">Berekening!H70</f>
        <v>0.0469</v>
      </c>
      <c r="I13" s="58" t="n">
        <f aca="false">Berekening!I70</f>
        <v>0.0469</v>
      </c>
      <c r="J13" s="58" t="n">
        <f aca="false">Berekening!J70</f>
        <v>0.0371653095711625</v>
      </c>
      <c r="K13" s="58" t="n">
        <f aca="false">Berekening!K70</f>
        <v>0.0369873839432004</v>
      </c>
      <c r="L13" s="58" t="n">
        <f aca="false">Berekening!L70</f>
        <v>0.0371653095711625</v>
      </c>
      <c r="M13" s="58" t="n">
        <f aca="false">Berekening!M70</f>
        <v>0.0371653095711625</v>
      </c>
    </row>
    <row r="14" customFormat="false" ht="15" hidden="false" customHeight="false" outlineLevel="0" collapsed="false">
      <c r="A14" s="9" t="s">
        <v>57</v>
      </c>
      <c r="C14" s="60" t="n">
        <f aca="false">Berekening!C71</f>
        <v>1.25</v>
      </c>
      <c r="D14" s="60" t="n">
        <f aca="false">Berekening!D71</f>
        <v>1.25</v>
      </c>
      <c r="E14" s="60" t="n">
        <f aca="false">Berekening!E71</f>
        <v>1.3</v>
      </c>
      <c r="F14" s="60" t="n">
        <f aca="false">Berekening!F71</f>
        <v>1.25</v>
      </c>
      <c r="G14" s="60" t="n">
        <f aca="false">Berekening!G71</f>
        <v>1.3</v>
      </c>
      <c r="H14" s="60" t="n">
        <f aca="false">Berekening!H71</f>
        <v>1.3</v>
      </c>
      <c r="I14" s="60" t="n">
        <f aca="false">Berekening!I71</f>
        <v>1.3</v>
      </c>
      <c r="J14" s="60" t="n">
        <f aca="false">Berekening!J71</f>
        <v>1.25</v>
      </c>
      <c r="K14" s="60" t="n">
        <f aca="false">Berekening!K71</f>
        <v>1.25</v>
      </c>
      <c r="L14" s="60" t="n">
        <f aca="false">Berekening!L71</f>
        <v>1.25</v>
      </c>
      <c r="M14" s="60" t="n">
        <f aca="false">Berekening!M71</f>
        <v>1.25</v>
      </c>
    </row>
    <row r="15" customFormat="false" ht="15" hidden="false" customHeight="false" outlineLevel="0" collapsed="false">
      <c r="A15" s="9" t="s">
        <v>404</v>
      </c>
      <c r="C15" s="57" t="n">
        <f aca="false">Berekening!C75</f>
        <v>80110.1194056814</v>
      </c>
      <c r="D15" s="57" t="n">
        <f aca="false">Berekening!D75</f>
        <v>80110.1194056814</v>
      </c>
      <c r="E15" s="57" t="n">
        <f aca="false">Berekening!E75</f>
        <v>83314.5241819087</v>
      </c>
      <c r="F15" s="57" t="n">
        <f aca="false">Berekening!F75</f>
        <v>77306.8710741212</v>
      </c>
      <c r="G15" s="57" t="n">
        <f aca="false">Berekening!G75</f>
        <v>0</v>
      </c>
      <c r="H15" s="57" t="n">
        <f aca="false">Berekening!H75</f>
        <v>30113.6834392441</v>
      </c>
      <c r="I15" s="57" t="n">
        <f aca="false">Berekening!I75</f>
        <v>83314.5241819087</v>
      </c>
      <c r="J15" s="57" t="n">
        <f aca="false">Berekening!J75</f>
        <v>80110.1194056814</v>
      </c>
      <c r="K15" s="57" t="n">
        <f aca="false">Berekening!K75</f>
        <v>80110.1194056814</v>
      </c>
      <c r="L15" s="57" t="n">
        <f aca="false">Berekening!L75</f>
        <v>80110.1194056814</v>
      </c>
      <c r="M15" s="57" t="n">
        <f aca="false">Berekening!M75</f>
        <v>80110.1194056814</v>
      </c>
    </row>
    <row r="16" customFormat="false" ht="15" hidden="false" customHeight="false" outlineLevel="0" collapsed="false">
      <c r="A16" s="9" t="s">
        <v>405</v>
      </c>
      <c r="C16" s="57" t="n">
        <f aca="false">Berekening!C101</f>
        <v>949478.277826761</v>
      </c>
      <c r="D16" s="57" t="n">
        <f aca="false">Berekening!D101</f>
        <v>949478.277826761</v>
      </c>
      <c r="E16" s="57" t="n">
        <f aca="false">Berekening!E101</f>
        <v>946273.873050534</v>
      </c>
      <c r="F16" s="57" t="n">
        <f aca="false">Berekening!F101</f>
        <v>916603.643081576</v>
      </c>
      <c r="G16" s="57" t="n">
        <f aca="false">Berekening!G101</f>
        <v>259434.811732502</v>
      </c>
      <c r="H16" s="57" t="n">
        <f aca="false">Berekening!H101</f>
        <v>684469.294466147</v>
      </c>
      <c r="I16" s="57" t="n">
        <f aca="false">Berekening!I101</f>
        <v>946273.873050534</v>
      </c>
      <c r="J16" s="57" t="n">
        <f aca="false">Berekening!J101</f>
        <v>816650.991485521</v>
      </c>
      <c r="K16" s="57" t="n">
        <f aca="false">Berekening!K101</f>
        <v>796185.505543883</v>
      </c>
      <c r="L16" s="57" t="n">
        <f aca="false">Berekening!L101</f>
        <v>10000</v>
      </c>
      <c r="M16" s="57" t="n">
        <f aca="false">Berekening!M101</f>
        <v>949478.277826761</v>
      </c>
    </row>
    <row r="17" customFormat="false" ht="15" hidden="false" customHeight="false" outlineLevel="0" collapsed="false">
      <c r="A17" s="9" t="s">
        <v>406</v>
      </c>
      <c r="C17" s="57" t="n">
        <f aca="false">Berekening!C42</f>
        <v>623749.91</v>
      </c>
      <c r="D17" s="57" t="n">
        <f aca="false">Berekening!D42</f>
        <v>623749.91</v>
      </c>
      <c r="E17" s="57" t="n">
        <f aca="false">Berekening!E42</f>
        <v>623749.91</v>
      </c>
      <c r="F17" s="57" t="n">
        <f aca="false">Berekening!F42</f>
        <v>623749.91</v>
      </c>
      <c r="G17" s="57" t="n">
        <f aca="false">Berekening!G42</f>
        <v>623749.91</v>
      </c>
      <c r="H17" s="57" t="n">
        <f aca="false">Berekening!H42</f>
        <v>623749.91</v>
      </c>
      <c r="I17" s="57" t="n">
        <f aca="false">Berekening!I42</f>
        <v>623749.91</v>
      </c>
      <c r="J17" s="57" t="n">
        <f aca="false">Berekening!J42</f>
        <v>623749.91</v>
      </c>
      <c r="K17" s="57" t="n">
        <f aca="false">Berekening!K42</f>
        <v>550000</v>
      </c>
      <c r="L17" s="57" t="n">
        <f aca="false">Berekening!L42</f>
        <v>623749.91</v>
      </c>
      <c r="M17" s="57" t="n">
        <f aca="false">Berekening!M42</f>
        <v>623749.91</v>
      </c>
    </row>
    <row r="18" customFormat="false" ht="15" hidden="false" customHeight="false" outlineLevel="0" collapsed="false">
      <c r="A18" s="9" t="s">
        <v>43</v>
      </c>
      <c r="C18" s="57" t="n">
        <f aca="false">Berekening!C105</f>
        <v>328352.170374638</v>
      </c>
      <c r="D18" s="57" t="n">
        <f aca="false">Berekening!D105</f>
        <v>357403.722328447</v>
      </c>
      <c r="E18" s="57" t="n">
        <f aca="false">Berekening!E105</f>
        <v>270854.422938313</v>
      </c>
      <c r="F18" s="57" t="n">
        <f aca="false">Berekening!F105</f>
        <v>317212.252008869</v>
      </c>
      <c r="G18" s="57" t="n">
        <f aca="false">Berekening!G105</f>
        <v>259434.811732502</v>
      </c>
      <c r="H18" s="57" t="n">
        <f aca="false">Berekening!H105</f>
        <v>684469.294466147</v>
      </c>
      <c r="I18" s="57" t="n">
        <f aca="false">Berekening!I105</f>
        <v>946273.873050534</v>
      </c>
      <c r="J18" s="57" t="n">
        <f aca="false">Berekening!J105</f>
        <v>173180.916994343</v>
      </c>
      <c r="K18" s="57" t="n">
        <f aca="false">Berekening!K105</f>
        <v>183119.501315332</v>
      </c>
      <c r="L18" s="57" t="n">
        <f aca="false">Berekening!L105</f>
        <v>0</v>
      </c>
      <c r="M18" s="57" t="n">
        <f aca="false">Berekening!M105</f>
        <v>328352.170374638</v>
      </c>
    </row>
    <row r="19" customFormat="false" ht="15" hidden="false" customHeight="false" outlineLevel="0" collapsed="false">
      <c r="A19" s="9" t="s">
        <v>58</v>
      </c>
      <c r="C19" s="57" t="n">
        <f aca="false">Berekening!C56</f>
        <v>32230</v>
      </c>
      <c r="D19" s="57" t="n">
        <f aca="false">Berekening!D56</f>
        <v>32230</v>
      </c>
      <c r="E19" s="57" t="n">
        <f aca="false">Berekening!E56</f>
        <v>32230</v>
      </c>
      <c r="F19" s="57" t="n">
        <f aca="false">Berekening!F56</f>
        <v>32230</v>
      </c>
      <c r="G19" s="57" t="n">
        <f aca="false">Berekening!G56</f>
        <v>12700</v>
      </c>
      <c r="H19" s="57" t="n">
        <f aca="false">Berekening!H56</f>
        <v>4950</v>
      </c>
      <c r="I19" s="57" t="n">
        <f aca="false">Berekening!I56</f>
        <v>32230</v>
      </c>
      <c r="J19" s="57" t="n">
        <f aca="false">Berekening!J56</f>
        <v>32230</v>
      </c>
      <c r="K19" s="57" t="n">
        <f aca="false">Berekening!K56</f>
        <v>27400</v>
      </c>
      <c r="L19" s="57" t="n">
        <f aca="false">Berekening!L56</f>
        <v>32230</v>
      </c>
      <c r="M19" s="57" t="n">
        <f aca="false">Berekening!M56</f>
        <v>32230</v>
      </c>
    </row>
    <row r="20" customFormat="false" ht="15" hidden="false" customHeight="false" outlineLevel="0" collapsed="false">
      <c r="A20" s="9" t="s">
        <v>407</v>
      </c>
      <c r="C20" s="57" t="n">
        <f aca="false">Berekening!C119</f>
        <v>323980</v>
      </c>
      <c r="D20" s="57" t="n">
        <f aca="false">Berekening!D119</f>
        <v>323980</v>
      </c>
      <c r="E20" s="57" t="n">
        <f aca="false">Berekening!E119</f>
        <v>323980</v>
      </c>
      <c r="F20" s="57" t="n">
        <f aca="false">Berekening!F119</f>
        <v>323980</v>
      </c>
      <c r="G20" s="57" t="n">
        <f aca="false">Berekening!G119</f>
        <v>372700</v>
      </c>
      <c r="H20" s="57" t="n">
        <f aca="false">Berekening!H119</f>
        <v>594950</v>
      </c>
      <c r="I20" s="57" t="n">
        <f aca="false">Berekening!I119</f>
        <v>947729.91</v>
      </c>
      <c r="J20" s="57" t="n">
        <f aca="false">Berekening!J119</f>
        <v>323980</v>
      </c>
      <c r="K20" s="57" t="n">
        <f aca="false">Berekening!K119</f>
        <v>182400</v>
      </c>
      <c r="L20" s="57" t="n">
        <f aca="false">Berekening!L119</f>
        <v>323980</v>
      </c>
      <c r="M20" s="57" t="n">
        <f aca="false">Berekening!M119</f>
        <v>323980</v>
      </c>
    </row>
    <row r="21" customFormat="false" ht="15" hidden="false" customHeight="false" outlineLevel="0" collapsed="false">
      <c r="A21" s="9" t="s">
        <v>45</v>
      </c>
      <c r="C21" s="57" t="n">
        <f aca="false">Berekening!C118</f>
        <v>328352.170374638</v>
      </c>
      <c r="D21" s="57" t="n">
        <f aca="false">Berekening!D118</f>
        <v>357403.722328447</v>
      </c>
      <c r="E21" s="57" t="n">
        <f aca="false">Berekening!E118</f>
        <v>270854.422938313</v>
      </c>
      <c r="F21" s="57" t="n">
        <f aca="false">Berekening!F118</f>
        <v>317212.252008869</v>
      </c>
      <c r="G21" s="57" t="n">
        <f aca="false">Berekening!G118</f>
        <v>259434.811732502</v>
      </c>
      <c r="H21" s="57" t="n">
        <f aca="false">Berekening!H118</f>
        <v>684469.294466147</v>
      </c>
      <c r="I21" s="57" t="n">
        <f aca="false">Berekening!I118</f>
        <v>946273.873050534</v>
      </c>
      <c r="J21" s="57" t="n">
        <f aca="false">Berekening!J118</f>
        <v>173180.916994343</v>
      </c>
      <c r="K21" s="57" t="n">
        <f aca="false">Berekening!K118</f>
        <v>183119.501315332</v>
      </c>
      <c r="L21" s="57" t="n">
        <f aca="false">Berekening!L118</f>
        <v>0</v>
      </c>
      <c r="M21" s="57" t="n">
        <f aca="false">Berekening!M118</f>
        <v>328352.170374638</v>
      </c>
    </row>
    <row r="22" customFormat="false" ht="15" hidden="false" customHeight="false" outlineLevel="0" collapsed="false">
      <c r="A22" s="9" t="s">
        <v>50</v>
      </c>
      <c r="C22" s="57" t="n">
        <f aca="false">Berekening!C120</f>
        <v>4372.1703746377</v>
      </c>
      <c r="D22" s="57" t="n">
        <f aca="false">Berekening!D120</f>
        <v>33423.7223284466</v>
      </c>
      <c r="E22" s="57" t="n">
        <f aca="false">Berekening!E120</f>
        <v>-53125.5770616866</v>
      </c>
      <c r="F22" s="57" t="n">
        <f aca="false">Berekening!F120</f>
        <v>-6767.74799113092</v>
      </c>
      <c r="G22" s="57" t="n">
        <f aca="false">Berekening!G120</f>
        <v>-113265.188267498</v>
      </c>
      <c r="H22" s="57" t="n">
        <f aca="false">Berekening!H120</f>
        <v>89519.2944661467</v>
      </c>
      <c r="I22" s="57" t="n">
        <f aca="false">Berekening!I120</f>
        <v>-1456.03694946633</v>
      </c>
      <c r="J22" s="57" t="n">
        <f aca="false">Berekening!J120</f>
        <v>-150799.083005657</v>
      </c>
      <c r="K22" s="57" t="n">
        <f aca="false">Berekening!K120</f>
        <v>719.501315332163</v>
      </c>
      <c r="L22" s="57" t="n">
        <f aca="false">Berekening!L120</f>
        <v>-323980</v>
      </c>
      <c r="M22" s="57" t="n">
        <f aca="false">Berekening!M120</f>
        <v>4372.1703746377</v>
      </c>
    </row>
    <row r="23" customFormat="false" ht="15" hidden="false" customHeight="false" outlineLevel="0" collapsed="false">
      <c r="A23" s="9" t="s">
        <v>408</v>
      </c>
      <c r="C23" s="57" t="n">
        <f aca="false">Berekening!C121</f>
        <v>0</v>
      </c>
      <c r="D23" s="57" t="n">
        <f aca="false">Berekening!D121</f>
        <v>0</v>
      </c>
      <c r="E23" s="57" t="n">
        <f aca="false">Berekening!E121</f>
        <v>53125.5770616866</v>
      </c>
      <c r="F23" s="57" t="n">
        <f aca="false">Berekening!F121</f>
        <v>6767.74799113092</v>
      </c>
      <c r="G23" s="57" t="n">
        <f aca="false">Berekening!G121</f>
        <v>113265.188267498</v>
      </c>
      <c r="H23" s="57" t="n">
        <f aca="false">Berekening!H121</f>
        <v>0</v>
      </c>
      <c r="I23" s="57" t="n">
        <f aca="false">Berekening!I121</f>
        <v>1456.03694946633</v>
      </c>
      <c r="J23" s="57" t="n">
        <f aca="false">Berekening!J121</f>
        <v>150799.083005657</v>
      </c>
      <c r="K23" s="57" t="n">
        <f aca="false">Berekening!K121</f>
        <v>0</v>
      </c>
      <c r="L23" s="57" t="n">
        <f aca="false">Berekening!L121</f>
        <v>323980</v>
      </c>
      <c r="M23" s="57" t="n">
        <f aca="false">Berekening!M121</f>
        <v>0</v>
      </c>
    </row>
    <row r="24" customFormat="false" ht="15" hidden="false" customHeight="false" outlineLevel="0" collapsed="false">
      <c r="A24" s="9" t="s">
        <v>409</v>
      </c>
      <c r="C24" s="61" t="n">
        <f aca="false">Berekening!C122</f>
        <v>1</v>
      </c>
      <c r="D24" s="61" t="n">
        <f aca="false">Berekening!D122</f>
        <v>1</v>
      </c>
      <c r="E24" s="61" t="n">
        <f aca="false">Berekening!E122</f>
        <v>0</v>
      </c>
      <c r="F24" s="61" t="n">
        <f aca="false">Berekening!F122</f>
        <v>0</v>
      </c>
      <c r="G24" s="61" t="n">
        <f aca="false">Berekening!G122</f>
        <v>0</v>
      </c>
      <c r="H24" s="61" t="n">
        <f aca="false">Berekening!H122</f>
        <v>1</v>
      </c>
      <c r="I24" s="61" t="n">
        <f aca="false">Berekening!I122</f>
        <v>0</v>
      </c>
      <c r="J24" s="61" t="n">
        <f aca="false">Berekening!J122</f>
        <v>0</v>
      </c>
      <c r="K24" s="61" t="n">
        <f aca="false">Berekening!K122</f>
        <v>1</v>
      </c>
      <c r="L24" s="61" t="n">
        <f aca="false">Berekening!L122</f>
        <v>0</v>
      </c>
      <c r="M24" s="61" t="n">
        <f aca="false">Berekening!M122</f>
        <v>1</v>
      </c>
    </row>
    <row r="25" customFormat="false" ht="15" hidden="false" customHeight="false" outlineLevel="0" collapsed="false">
      <c r="A25" s="9" t="s">
        <v>47</v>
      </c>
      <c r="C25" s="57" t="n">
        <f aca="false">Berekening!C117</f>
        <v>952102.080374638</v>
      </c>
      <c r="D25" s="57" t="n">
        <f aca="false">Berekening!D117</f>
        <v>981153.632328447</v>
      </c>
      <c r="E25" s="57" t="n">
        <f aca="false">Berekening!E117</f>
        <v>894604.332938314</v>
      </c>
      <c r="F25" s="57" t="n">
        <f aca="false">Berekening!F117</f>
        <v>940962.162008869</v>
      </c>
      <c r="G25" s="57" t="n">
        <f aca="false">Berekening!G117</f>
        <v>259434.811732502</v>
      </c>
      <c r="H25" s="57" t="n">
        <f aca="false">Berekening!H117</f>
        <v>684469.294466147</v>
      </c>
      <c r="I25" s="57" t="n">
        <f aca="false">Berekening!I117</f>
        <v>946273.873050534</v>
      </c>
      <c r="J25" s="57" t="n">
        <f aca="false">Berekening!J117</f>
        <v>796930.826994343</v>
      </c>
      <c r="K25" s="57" t="n">
        <f aca="false">Berekening!K117</f>
        <v>733119.501315332</v>
      </c>
      <c r="L25" s="57" t="n">
        <f aca="false">Berekening!L117</f>
        <v>623749.91</v>
      </c>
      <c r="M25" s="57" t="n">
        <f aca="false">Berekening!M117</f>
        <v>952102.080374638</v>
      </c>
    </row>
    <row r="26" customFormat="false" ht="15" hidden="false" customHeight="false" outlineLevel="0" collapsed="false">
      <c r="A26" s="9" t="s">
        <v>59</v>
      </c>
      <c r="C26" s="57" t="n">
        <f aca="false">Berekening!C123</f>
        <v>4372.1703746377</v>
      </c>
      <c r="D26" s="57" t="n">
        <f aca="false">Berekening!D123</f>
        <v>33423.7223284466</v>
      </c>
      <c r="E26" s="57" t="n">
        <f aca="false">Berekening!E123</f>
        <v>-53125.5770616867</v>
      </c>
      <c r="F26" s="57" t="n">
        <f aca="false">Berekening!F123</f>
        <v>-6767.74799113092</v>
      </c>
      <c r="G26" s="57" t="str">
        <f aca="false">Berekening!G123</f>
        <v>n.v.t.</v>
      </c>
      <c r="H26" s="57" t="str">
        <f aca="false">Berekening!H123</f>
        <v>n.v.t.</v>
      </c>
      <c r="I26" s="57" t="n">
        <f aca="false">Berekening!I123</f>
        <v>-1456.03694946622</v>
      </c>
      <c r="J26" s="57" t="n">
        <f aca="false">Berekening!J123</f>
        <v>-150799.083005657</v>
      </c>
      <c r="K26" s="57" t="n">
        <f aca="false">Berekening!K123</f>
        <v>719.501315332251</v>
      </c>
      <c r="L26" s="57" t="n">
        <f aca="false">Berekening!L123</f>
        <v>-323980</v>
      </c>
      <c r="M26" s="57" t="n">
        <f aca="false">Berekening!M123</f>
        <v>4372.1703746377</v>
      </c>
    </row>
    <row r="29" customFormat="false" ht="15" hidden="false" customHeight="false" outlineLevel="0" collapsed="false">
      <c r="A29" s="7" t="s">
        <v>410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</row>
    <row r="30" customFormat="false" ht="15" hidden="false" customHeight="false" outlineLevel="0" collapsed="false">
      <c r="A30" s="9" t="s">
        <v>53</v>
      </c>
      <c r="C30" s="62" t="n">
        <v>225000</v>
      </c>
      <c r="D30" s="62" t="n">
        <v>225000</v>
      </c>
      <c r="E30" s="62" t="n">
        <v>225000</v>
      </c>
      <c r="F30" s="62" t="n">
        <v>225000</v>
      </c>
      <c r="G30" s="62" t="n">
        <v>60000</v>
      </c>
      <c r="H30" s="62" t="n">
        <v>150000</v>
      </c>
      <c r="I30" s="62" t="n">
        <v>225000</v>
      </c>
      <c r="J30" s="62" t="n">
        <v>225000</v>
      </c>
      <c r="K30" s="62" t="n">
        <v>225000</v>
      </c>
      <c r="L30" s="62" t="n">
        <v>225000</v>
      </c>
      <c r="M30" s="63"/>
    </row>
    <row r="31" customFormat="false" ht="15" hidden="false" customHeight="false" outlineLevel="0" collapsed="false">
      <c r="A31" s="9" t="s">
        <v>174</v>
      </c>
      <c r="C31" s="64" t="n">
        <v>0.0469</v>
      </c>
      <c r="D31" s="64" t="n">
        <v>0.0469</v>
      </c>
      <c r="E31" s="64" t="n">
        <v>0.0469</v>
      </c>
      <c r="F31" s="64" t="n">
        <v>0.05</v>
      </c>
      <c r="G31" s="64" t="n">
        <v>0.0469</v>
      </c>
      <c r="H31" s="64" t="n">
        <v>0.0469</v>
      </c>
      <c r="I31" s="64" t="n">
        <v>0.0469</v>
      </c>
      <c r="J31" s="64" t="n">
        <v>0.0469</v>
      </c>
      <c r="K31" s="64" t="n">
        <v>0.0469</v>
      </c>
      <c r="L31" s="64" t="n">
        <v>0.0469</v>
      </c>
      <c r="M31" s="65"/>
    </row>
    <row r="32" customFormat="false" ht="15" hidden="false" customHeight="false" outlineLevel="0" collapsed="false">
      <c r="A32" s="9" t="s">
        <v>401</v>
      </c>
      <c r="C32" s="66" t="n">
        <v>193.155608922294</v>
      </c>
      <c r="D32" s="66" t="n">
        <v>193.155608922294</v>
      </c>
      <c r="E32" s="66" t="n">
        <v>193.155608922294</v>
      </c>
      <c r="F32" s="66" t="n">
        <v>193.155608922294</v>
      </c>
      <c r="G32" s="66" t="n">
        <v>0</v>
      </c>
      <c r="H32" s="66" t="n">
        <v>0</v>
      </c>
      <c r="I32" s="66" t="n">
        <v>193.155608922294</v>
      </c>
      <c r="J32" s="66" t="n">
        <v>0</v>
      </c>
      <c r="K32" s="66" t="n">
        <v>935.465081665099</v>
      </c>
      <c r="L32" s="66" t="n">
        <v>60000</v>
      </c>
      <c r="M32" s="67"/>
    </row>
    <row r="33" customFormat="false" ht="15" hidden="false" customHeight="false" outlineLevel="0" collapsed="false">
      <c r="A33" s="9" t="s">
        <v>402</v>
      </c>
      <c r="C33" s="66" t="n">
        <v>193.155608922294</v>
      </c>
      <c r="D33" s="66" t="n">
        <v>193.155608922294</v>
      </c>
      <c r="E33" s="66" t="n">
        <v>193.155608922294</v>
      </c>
      <c r="F33" s="66" t="n">
        <v>193.155608922294</v>
      </c>
      <c r="G33" s="66" t="n">
        <v>0</v>
      </c>
      <c r="H33" s="66" t="n">
        <v>0</v>
      </c>
      <c r="I33" s="66" t="n">
        <v>193.155608922294</v>
      </c>
      <c r="J33" s="66" t="n">
        <v>0</v>
      </c>
      <c r="K33" s="66" t="n">
        <v>225.465081665099</v>
      </c>
      <c r="L33" s="66" t="n">
        <v>0</v>
      </c>
      <c r="M33" s="67"/>
    </row>
    <row r="34" customFormat="false" ht="15" hidden="false" customHeight="false" outlineLevel="0" collapsed="false">
      <c r="A34" s="9" t="s">
        <v>403</v>
      </c>
      <c r="C34" s="64" t="n">
        <v>0.0371653095711625</v>
      </c>
      <c r="D34" s="64" t="n">
        <v>0.0371653095711625</v>
      </c>
      <c r="E34" s="64" t="n">
        <v>0.0489402698074602</v>
      </c>
      <c r="F34" s="64" t="n">
        <v>0.0382250397637023</v>
      </c>
      <c r="G34" s="64" t="n">
        <v>0.0469</v>
      </c>
      <c r="H34" s="64" t="n">
        <v>0.0469</v>
      </c>
      <c r="I34" s="64" t="n">
        <v>0.0469</v>
      </c>
      <c r="J34" s="64" t="n">
        <v>0.0371653095711625</v>
      </c>
      <c r="K34" s="64" t="n">
        <v>0.0369873839432004</v>
      </c>
      <c r="L34" s="64" t="n">
        <v>0.0371653095711625</v>
      </c>
      <c r="M34" s="65"/>
    </row>
    <row r="35" customFormat="false" ht="15" hidden="false" customHeight="false" outlineLevel="0" collapsed="false">
      <c r="A35" s="9" t="s">
        <v>57</v>
      </c>
      <c r="C35" s="68" t="n">
        <v>1.25</v>
      </c>
      <c r="D35" s="68" t="n">
        <v>1.25</v>
      </c>
      <c r="E35" s="68" t="n">
        <v>1.3</v>
      </c>
      <c r="F35" s="68" t="n">
        <v>1.25</v>
      </c>
      <c r="G35" s="68" t="n">
        <v>1.3</v>
      </c>
      <c r="H35" s="68" t="n">
        <v>1.3</v>
      </c>
      <c r="I35" s="68" t="n">
        <v>1.3</v>
      </c>
      <c r="J35" s="68" t="n">
        <v>1.25</v>
      </c>
      <c r="K35" s="68" t="n">
        <v>1.25</v>
      </c>
      <c r="L35" s="68" t="n">
        <v>1.25</v>
      </c>
      <c r="M35" s="69"/>
    </row>
    <row r="36" customFormat="false" ht="15" hidden="false" customHeight="false" outlineLevel="0" collapsed="false">
      <c r="A36" s="9" t="s">
        <v>404</v>
      </c>
      <c r="C36" s="62" t="n">
        <v>80110.1194056814</v>
      </c>
      <c r="D36" s="62" t="n">
        <v>80110.1194056814</v>
      </c>
      <c r="E36" s="62" t="n">
        <v>83314.5241819087</v>
      </c>
      <c r="F36" s="62" t="n">
        <v>77306.8710741212</v>
      </c>
      <c r="G36" s="62" t="n">
        <v>0</v>
      </c>
      <c r="H36" s="62" t="n">
        <v>30113.6834392441</v>
      </c>
      <c r="I36" s="62" t="n">
        <v>83314.5241819087</v>
      </c>
      <c r="J36" s="62" t="n">
        <v>80110.1194056814</v>
      </c>
      <c r="K36" s="62" t="n">
        <v>80110.1194056814</v>
      </c>
      <c r="L36" s="62" t="n">
        <v>80110.1194056814</v>
      </c>
      <c r="M36" s="63"/>
    </row>
    <row r="37" customFormat="false" ht="15" hidden="false" customHeight="false" outlineLevel="0" collapsed="false">
      <c r="A37" s="9" t="s">
        <v>405</v>
      </c>
      <c r="C37" s="62" t="n">
        <v>949478.277826761</v>
      </c>
      <c r="D37" s="62" t="n">
        <v>949478.277826761</v>
      </c>
      <c r="E37" s="62" t="n">
        <v>946273.873050534</v>
      </c>
      <c r="F37" s="62" t="n">
        <v>916603.643081576</v>
      </c>
      <c r="G37" s="62" t="n">
        <v>259434.811732502</v>
      </c>
      <c r="H37" s="62" t="n">
        <v>684469.294466147</v>
      </c>
      <c r="I37" s="62" t="n">
        <v>946273.873050534</v>
      </c>
      <c r="J37" s="62" t="n">
        <v>816650.991485521</v>
      </c>
      <c r="K37" s="62" t="n">
        <v>796185.505543883</v>
      </c>
      <c r="L37" s="62" t="n">
        <v>10000</v>
      </c>
      <c r="M37" s="63"/>
    </row>
    <row r="38" customFormat="false" ht="15" hidden="false" customHeight="false" outlineLevel="0" collapsed="false">
      <c r="A38" s="9" t="s">
        <v>406</v>
      </c>
      <c r="C38" s="62" t="n">
        <v>623749.91</v>
      </c>
      <c r="D38" s="62" t="n">
        <v>623749.91</v>
      </c>
      <c r="E38" s="62" t="n">
        <v>623749.91</v>
      </c>
      <c r="F38" s="62" t="n">
        <v>623749.91</v>
      </c>
      <c r="G38" s="62" t="n">
        <v>623749.91</v>
      </c>
      <c r="H38" s="62" t="n">
        <v>623749.91</v>
      </c>
      <c r="I38" s="62" t="n">
        <v>623749.91</v>
      </c>
      <c r="J38" s="62" t="n">
        <v>623749.91</v>
      </c>
      <c r="K38" s="62" t="n">
        <v>550000</v>
      </c>
      <c r="L38" s="62" t="n">
        <v>623749.91</v>
      </c>
      <c r="M38" s="63"/>
    </row>
    <row r="39" customFormat="false" ht="15" hidden="false" customHeight="false" outlineLevel="0" collapsed="false">
      <c r="A39" s="9" t="s">
        <v>43</v>
      </c>
      <c r="C39" s="62" t="n">
        <v>328352.170374637</v>
      </c>
      <c r="D39" s="62" t="n">
        <v>357403.722328446</v>
      </c>
      <c r="E39" s="62" t="n">
        <v>270854.422938314</v>
      </c>
      <c r="F39" s="62" t="n">
        <v>317212.252008869</v>
      </c>
      <c r="G39" s="62" t="n">
        <v>259434.811732502</v>
      </c>
      <c r="H39" s="62" t="n">
        <v>684469.294466147</v>
      </c>
      <c r="I39" s="62" t="n">
        <v>946273.873050534</v>
      </c>
      <c r="J39" s="62" t="n">
        <v>173180.916994343</v>
      </c>
      <c r="K39" s="62" t="n">
        <v>183119.501315332</v>
      </c>
      <c r="L39" s="62" t="n">
        <v>0</v>
      </c>
      <c r="M39" s="63"/>
    </row>
    <row r="40" customFormat="false" ht="15" hidden="false" customHeight="false" outlineLevel="0" collapsed="false">
      <c r="A40" s="9" t="s">
        <v>58</v>
      </c>
      <c r="C40" s="62" t="n">
        <v>32230</v>
      </c>
      <c r="D40" s="62" t="n">
        <v>32230</v>
      </c>
      <c r="E40" s="62" t="n">
        <v>32230</v>
      </c>
      <c r="F40" s="62" t="n">
        <v>32230</v>
      </c>
      <c r="G40" s="62" t="n">
        <v>12700</v>
      </c>
      <c r="H40" s="62" t="n">
        <v>4950</v>
      </c>
      <c r="I40" s="62" t="n">
        <v>32230</v>
      </c>
      <c r="J40" s="62" t="n">
        <v>32230</v>
      </c>
      <c r="K40" s="62" t="n">
        <v>27400</v>
      </c>
      <c r="L40" s="62" t="n">
        <v>32230</v>
      </c>
      <c r="M40" s="63"/>
    </row>
    <row r="41" customFormat="false" ht="15" hidden="false" customHeight="false" outlineLevel="0" collapsed="false">
      <c r="A41" s="9" t="s">
        <v>407</v>
      </c>
      <c r="C41" s="62" t="n">
        <v>323980</v>
      </c>
      <c r="D41" s="62" t="n">
        <v>323980</v>
      </c>
      <c r="E41" s="62" t="n">
        <v>323980</v>
      </c>
      <c r="F41" s="62" t="n">
        <v>323980</v>
      </c>
      <c r="G41" s="62" t="n">
        <v>372700</v>
      </c>
      <c r="H41" s="62" t="n">
        <v>594950</v>
      </c>
      <c r="I41" s="62" t="n">
        <v>947729.91</v>
      </c>
      <c r="J41" s="62" t="n">
        <v>323980</v>
      </c>
      <c r="K41" s="62" t="n">
        <v>182400</v>
      </c>
      <c r="L41" s="62" t="n">
        <v>323980</v>
      </c>
      <c r="M41" s="63"/>
    </row>
    <row r="42" customFormat="false" ht="15" hidden="false" customHeight="false" outlineLevel="0" collapsed="false">
      <c r="A42" s="9" t="s">
        <v>45</v>
      </c>
      <c r="C42" s="62" t="n">
        <v>328352.170374637</v>
      </c>
      <c r="D42" s="62" t="n">
        <v>357403.722328446</v>
      </c>
      <c r="E42" s="62" t="n">
        <v>270854.422938314</v>
      </c>
      <c r="F42" s="62" t="n">
        <v>317212.252008869</v>
      </c>
      <c r="G42" s="62" t="n">
        <v>259434.811732502</v>
      </c>
      <c r="H42" s="62" t="n">
        <v>684469.294466147</v>
      </c>
      <c r="I42" s="62" t="n">
        <v>946273.873050534</v>
      </c>
      <c r="J42" s="62" t="n">
        <v>173180.916994343</v>
      </c>
      <c r="K42" s="62" t="n">
        <v>183119.501315332</v>
      </c>
      <c r="L42" s="62" t="n">
        <v>0</v>
      </c>
      <c r="M42" s="63"/>
    </row>
    <row r="43" customFormat="false" ht="15" hidden="false" customHeight="false" outlineLevel="0" collapsed="false">
      <c r="A43" s="9" t="s">
        <v>50</v>
      </c>
      <c r="C43" s="62" t="n">
        <v>4372.17037463735</v>
      </c>
      <c r="D43" s="62" t="n">
        <v>33423.7223284462</v>
      </c>
      <c r="E43" s="62" t="n">
        <v>-53125.5770616866</v>
      </c>
      <c r="F43" s="62" t="n">
        <v>-6767.74799113127</v>
      </c>
      <c r="G43" s="62" t="n">
        <v>-113265.188267498</v>
      </c>
      <c r="H43" s="62" t="n">
        <v>89519.2944661467</v>
      </c>
      <c r="I43" s="62" t="n">
        <v>-1456.03694946633</v>
      </c>
      <c r="J43" s="62" t="n">
        <v>-150799.083005657</v>
      </c>
      <c r="K43" s="62" t="n">
        <v>719.501315332163</v>
      </c>
      <c r="L43" s="62" t="n">
        <v>-323980</v>
      </c>
      <c r="M43" s="63"/>
    </row>
    <row r="44" customFormat="false" ht="15" hidden="false" customHeight="false" outlineLevel="0" collapsed="false">
      <c r="A44" s="9" t="s">
        <v>408</v>
      </c>
      <c r="C44" s="62" t="n">
        <v>0</v>
      </c>
      <c r="D44" s="62" t="n">
        <v>0</v>
      </c>
      <c r="E44" s="62" t="n">
        <v>53125.5770616866</v>
      </c>
      <c r="F44" s="62" t="n">
        <v>6767.74799113127</v>
      </c>
      <c r="G44" s="62" t="n">
        <v>113265.188267498</v>
      </c>
      <c r="H44" s="62" t="n">
        <v>0</v>
      </c>
      <c r="I44" s="62" t="n">
        <v>1456.03694946633</v>
      </c>
      <c r="J44" s="62" t="n">
        <v>150799.083005657</v>
      </c>
      <c r="K44" s="62" t="n">
        <v>0</v>
      </c>
      <c r="L44" s="62" t="n">
        <v>323980</v>
      </c>
      <c r="M44" s="63"/>
    </row>
    <row r="45" customFormat="false" ht="15" hidden="false" customHeight="false" outlineLevel="0" collapsed="false">
      <c r="A45" s="9" t="s">
        <v>409</v>
      </c>
      <c r="C45" s="70" t="n">
        <v>1</v>
      </c>
      <c r="D45" s="70" t="n">
        <v>1</v>
      </c>
      <c r="E45" s="70" t="n">
        <v>0</v>
      </c>
      <c r="F45" s="70" t="n">
        <v>0</v>
      </c>
      <c r="G45" s="70" t="n">
        <v>0</v>
      </c>
      <c r="H45" s="70" t="n">
        <v>1</v>
      </c>
      <c r="I45" s="70" t="n">
        <v>0</v>
      </c>
      <c r="J45" s="70" t="n">
        <v>0</v>
      </c>
      <c r="K45" s="70" t="n">
        <v>1</v>
      </c>
      <c r="L45" s="70" t="n">
        <v>0</v>
      </c>
      <c r="M45" s="71"/>
    </row>
    <row r="46" customFormat="false" ht="15" hidden="false" customHeight="false" outlineLevel="0" collapsed="false">
      <c r="A46" s="9" t="s">
        <v>47</v>
      </c>
      <c r="C46" s="62" t="n">
        <v>952102.080374637</v>
      </c>
      <c r="D46" s="62" t="n">
        <v>981153.632328446</v>
      </c>
      <c r="E46" s="62" t="n">
        <v>894604.332938314</v>
      </c>
      <c r="F46" s="62" t="n">
        <v>940962.162008869</v>
      </c>
      <c r="G46" s="62" t="n">
        <v>259434.811732502</v>
      </c>
      <c r="H46" s="62" t="n">
        <v>684469.294466147</v>
      </c>
      <c r="I46" s="62" t="n">
        <v>946273.873050534</v>
      </c>
      <c r="J46" s="62" t="n">
        <v>796930.826994343</v>
      </c>
      <c r="K46" s="62" t="n">
        <v>733119.501315332</v>
      </c>
      <c r="L46" s="62" t="n">
        <v>623749.91</v>
      </c>
      <c r="M46" s="63"/>
    </row>
    <row r="47" customFormat="false" ht="15" hidden="false" customHeight="false" outlineLevel="0" collapsed="false">
      <c r="A47" s="9" t="s">
        <v>59</v>
      </c>
      <c r="C47" s="62" t="n">
        <v>4372.17037463747</v>
      </c>
      <c r="D47" s="62" t="n">
        <v>33423.7223284463</v>
      </c>
      <c r="E47" s="62" t="n">
        <v>-53125.5770616867</v>
      </c>
      <c r="F47" s="62" t="n">
        <v>-6767.74799113115</v>
      </c>
      <c r="G47" s="62" t="s">
        <v>411</v>
      </c>
      <c r="H47" s="62" t="s">
        <v>411</v>
      </c>
      <c r="I47" s="62" t="n">
        <v>-1456.03694946622</v>
      </c>
      <c r="J47" s="62" t="n">
        <v>-150799.083005657</v>
      </c>
      <c r="K47" s="62" t="n">
        <v>719.501315332251</v>
      </c>
      <c r="L47" s="62" t="n">
        <v>-323980</v>
      </c>
      <c r="M47" s="63"/>
    </row>
    <row r="50" customFormat="false" ht="15" hidden="false" customHeight="false" outlineLevel="0" collapsed="false">
      <c r="A50" s="7" t="s">
        <v>412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</row>
    <row r="51" customFormat="false" ht="15" hidden="false" customHeight="false" outlineLevel="0" collapsed="false">
      <c r="A51" s="9" t="s">
        <v>53</v>
      </c>
      <c r="C51" s="72" t="n">
        <f aca="false">IF(ISBLANK(C30),"",IF(AND(ISNUMBER(C30),ISNUMBER(C9)),C9-C30,IF(AND(C30="n.v.t.",C9="n.v.t."),"n.v.t.","FOUT")))</f>
        <v>0</v>
      </c>
      <c r="D51" s="72" t="n">
        <f aca="false">IF(ISBLANK(D30),"",IF(AND(ISNUMBER(D30),ISNUMBER(D9)),D9-D30,IF(AND(D30="n.v.t.",D9="n.v.t."),"n.v.t.","FOUT")))</f>
        <v>0</v>
      </c>
      <c r="E51" s="72" t="n">
        <f aca="false">IF(ISBLANK(E30),"",IF(AND(ISNUMBER(E30),ISNUMBER(E9)),E9-E30,IF(AND(E30="n.v.t.",E9="n.v.t."),"n.v.t.","FOUT")))</f>
        <v>0</v>
      </c>
      <c r="F51" s="72" t="n">
        <f aca="false">IF(ISBLANK(F30),"",IF(AND(ISNUMBER(F30),ISNUMBER(F9)),F9-F30,IF(AND(F30="n.v.t.",F9="n.v.t."),"n.v.t.","FOUT")))</f>
        <v>0</v>
      </c>
      <c r="G51" s="72" t="n">
        <f aca="false">IF(ISBLANK(G30),"",IF(AND(ISNUMBER(G30),ISNUMBER(G9)),G9-G30,IF(AND(G30="n.v.t.",G9="n.v.t."),"n.v.t.","FOUT")))</f>
        <v>0</v>
      </c>
      <c r="H51" s="72" t="n">
        <f aca="false">IF(ISBLANK(H30),"",IF(AND(ISNUMBER(H30),ISNUMBER(H9)),H9-H30,IF(AND(H30="n.v.t.",H9="n.v.t."),"n.v.t.","FOUT")))</f>
        <v>0</v>
      </c>
      <c r="I51" s="72" t="n">
        <f aca="false">IF(ISBLANK(I30),"",IF(AND(ISNUMBER(I30),ISNUMBER(I9)),I9-I30,IF(AND(I30="n.v.t.",I9="n.v.t."),"n.v.t.","FOUT")))</f>
        <v>0</v>
      </c>
      <c r="J51" s="72" t="n">
        <f aca="false">IF(ISBLANK(J30),"",IF(AND(ISNUMBER(J30),ISNUMBER(J9)),J9-J30,IF(AND(J30="n.v.t.",J9="n.v.t."),"n.v.t.","FOUT")))</f>
        <v>0</v>
      </c>
      <c r="K51" s="72" t="n">
        <f aca="false">IF(ISBLANK(K30),"",IF(AND(ISNUMBER(K30),ISNUMBER(K9)),K9-K30,IF(AND(K30="n.v.t.",K9="n.v.t."),"n.v.t.","FOUT")))</f>
        <v>0</v>
      </c>
      <c r="L51" s="72" t="n">
        <f aca="false">IF(ISBLANK(L30),"",IF(AND(ISNUMBER(L30),ISNUMBER(L9)),L9-L30,IF(AND(L30="n.v.t.",L9="n.v.t."),"n.v.t.","FOUT")))</f>
        <v>0</v>
      </c>
      <c r="M51" s="72" t="str">
        <f aca="false">IF(ISBLANK(M30),"",IF(AND(ISNUMBER(M30),ISNUMBER(M9)),M9-M30,IF(AND(M30="n.v.t.",M9="n.v.t."),"n.v.t.","FOUT")))</f>
        <v/>
      </c>
    </row>
    <row r="52" customFormat="false" ht="15" hidden="false" customHeight="false" outlineLevel="0" collapsed="false">
      <c r="A52" s="9" t="s">
        <v>174</v>
      </c>
      <c r="C52" s="72" t="n">
        <f aca="false">IF(ISBLANK(C31),"",IF(AND(ISNUMBER(C31),ISNUMBER(C10)),C10-C31,IF(AND(C31="n.v.t.",C10="n.v.t."),"n.v.t.","FOUT")))</f>
        <v>0</v>
      </c>
      <c r="D52" s="72" t="n">
        <f aca="false">IF(ISBLANK(D31),"",IF(AND(ISNUMBER(D31),ISNUMBER(D10)),D10-D31,IF(AND(D31="n.v.t.",D10="n.v.t."),"n.v.t.","FOUT")))</f>
        <v>0</v>
      </c>
      <c r="E52" s="72" t="n">
        <f aca="false">IF(ISBLANK(E31),"",IF(AND(ISNUMBER(E31),ISNUMBER(E10)),E10-E31,IF(AND(E31="n.v.t.",E10="n.v.t."),"n.v.t.","FOUT")))</f>
        <v>0</v>
      </c>
      <c r="F52" s="72" t="n">
        <f aca="false">IF(ISBLANK(F31),"",IF(AND(ISNUMBER(F31),ISNUMBER(F10)),F10-F31,IF(AND(F31="n.v.t.",F10="n.v.t."),"n.v.t.","FOUT")))</f>
        <v>0</v>
      </c>
      <c r="G52" s="72" t="n">
        <f aca="false">IF(ISBLANK(G31),"",IF(AND(ISNUMBER(G31),ISNUMBER(G10)),G10-G31,IF(AND(G31="n.v.t.",G10="n.v.t."),"n.v.t.","FOUT")))</f>
        <v>0</v>
      </c>
      <c r="H52" s="72" t="n">
        <f aca="false">IF(ISBLANK(H31),"",IF(AND(ISNUMBER(H31),ISNUMBER(H10)),H10-H31,IF(AND(H31="n.v.t.",H10="n.v.t."),"n.v.t.","FOUT")))</f>
        <v>0</v>
      </c>
      <c r="I52" s="72" t="n">
        <f aca="false">IF(ISBLANK(I31),"",IF(AND(ISNUMBER(I31),ISNUMBER(I10)),I10-I31,IF(AND(I31="n.v.t.",I10="n.v.t."),"n.v.t.","FOUT")))</f>
        <v>0</v>
      </c>
      <c r="J52" s="72" t="n">
        <f aca="false">IF(ISBLANK(J31),"",IF(AND(ISNUMBER(J31),ISNUMBER(J10)),J10-J31,IF(AND(J31="n.v.t.",J10="n.v.t."),"n.v.t.","FOUT")))</f>
        <v>0</v>
      </c>
      <c r="K52" s="72" t="n">
        <f aca="false">IF(ISBLANK(K31),"",IF(AND(ISNUMBER(K31),ISNUMBER(K10)),K10-K31,IF(AND(K31="n.v.t.",K10="n.v.t."),"n.v.t.","FOUT")))</f>
        <v>0</v>
      </c>
      <c r="L52" s="72" t="n">
        <f aca="false">IF(ISBLANK(L31),"",IF(AND(ISNUMBER(L31),ISNUMBER(L10)),L10-L31,IF(AND(L31="n.v.t.",L10="n.v.t."),"n.v.t.","FOUT")))</f>
        <v>0</v>
      </c>
      <c r="M52" s="72" t="str">
        <f aca="false">IF(ISBLANK(M31),"",IF(AND(ISNUMBER(M31),ISNUMBER(M10)),M10-M31,IF(AND(M31="n.v.t.",M10="n.v.t."),"n.v.t.","FOUT")))</f>
        <v/>
      </c>
    </row>
    <row r="53" customFormat="false" ht="15" hidden="false" customHeight="false" outlineLevel="0" collapsed="false">
      <c r="A53" s="9" t="s">
        <v>401</v>
      </c>
      <c r="C53" s="72" t="n">
        <f aca="false">IF(ISBLANK(C32),"",IF(AND(ISNUMBER(C32),ISNUMBER(C11)),C11-C32,IF(AND(C32="n.v.t.",C11="n.v.t."),"n.v.t.","FOUT")))</f>
        <v>0</v>
      </c>
      <c r="D53" s="72" t="n">
        <f aca="false">IF(ISBLANK(D32),"",IF(AND(ISNUMBER(D32),ISNUMBER(D11)),D11-D32,IF(AND(D32="n.v.t.",D11="n.v.t."),"n.v.t.","FOUT")))</f>
        <v>0</v>
      </c>
      <c r="E53" s="72" t="n">
        <f aca="false">IF(ISBLANK(E32),"",IF(AND(ISNUMBER(E32),ISNUMBER(E11)),E11-E32,IF(AND(E32="n.v.t.",E11="n.v.t."),"n.v.t.","FOUT")))</f>
        <v>0</v>
      </c>
      <c r="F53" s="72" t="n">
        <f aca="false">IF(ISBLANK(F32),"",IF(AND(ISNUMBER(F32),ISNUMBER(F11)),F11-F32,IF(AND(F32="n.v.t.",F11="n.v.t."),"n.v.t.","FOUT")))</f>
        <v>0</v>
      </c>
      <c r="G53" s="72" t="n">
        <f aca="false">IF(ISBLANK(G32),"",IF(AND(ISNUMBER(G32),ISNUMBER(G11)),G11-G32,IF(AND(G32="n.v.t.",G11="n.v.t."),"n.v.t.","FOUT")))</f>
        <v>0</v>
      </c>
      <c r="H53" s="72" t="n">
        <f aca="false">IF(ISBLANK(H32),"",IF(AND(ISNUMBER(H32),ISNUMBER(H11)),H11-H32,IF(AND(H32="n.v.t.",H11="n.v.t."),"n.v.t.","FOUT")))</f>
        <v>0</v>
      </c>
      <c r="I53" s="72" t="n">
        <f aca="false">IF(ISBLANK(I32),"",IF(AND(ISNUMBER(I32),ISNUMBER(I11)),I11-I32,IF(AND(I32="n.v.t.",I11="n.v.t."),"n.v.t.","FOUT")))</f>
        <v>0</v>
      </c>
      <c r="J53" s="72" t="n">
        <f aca="false">IF(ISBLANK(J32),"",IF(AND(ISNUMBER(J32),ISNUMBER(J11)),J11-J32,IF(AND(J32="n.v.t.",J11="n.v.t."),"n.v.t.","FOUT")))</f>
        <v>0</v>
      </c>
      <c r="K53" s="72" t="n">
        <f aca="false">IF(ISBLANK(K32),"",IF(AND(ISNUMBER(K32),ISNUMBER(K11)),K11-K32,IF(AND(K32="n.v.t.",K11="n.v.t."),"n.v.t.","FOUT")))</f>
        <v>0</v>
      </c>
      <c r="L53" s="72" t="n">
        <f aca="false">IF(ISBLANK(L32),"",IF(AND(ISNUMBER(L32),ISNUMBER(L11)),L11-L32,IF(AND(L32="n.v.t.",L11="n.v.t."),"n.v.t.","FOUT")))</f>
        <v>0</v>
      </c>
      <c r="M53" s="72" t="str">
        <f aca="false">IF(ISBLANK(M32),"",IF(AND(ISNUMBER(M32),ISNUMBER(M11)),M11-M32,IF(AND(M32="n.v.t.",M11="n.v.t."),"n.v.t.","FOUT")))</f>
        <v/>
      </c>
    </row>
    <row r="54" customFormat="false" ht="15" hidden="false" customHeight="false" outlineLevel="0" collapsed="false">
      <c r="A54" s="9" t="s">
        <v>402</v>
      </c>
      <c r="C54" s="72" t="n">
        <f aca="false">IF(ISBLANK(C33),"",IF(AND(ISNUMBER(C33),ISNUMBER(C12)),C12-C33,IF(AND(C33="n.v.t.",C12="n.v.t."),"n.v.t.","FOUT")))</f>
        <v>0</v>
      </c>
      <c r="D54" s="72" t="n">
        <f aca="false">IF(ISBLANK(D33),"",IF(AND(ISNUMBER(D33),ISNUMBER(D12)),D12-D33,IF(AND(D33="n.v.t.",D12="n.v.t."),"n.v.t.","FOUT")))</f>
        <v>0</v>
      </c>
      <c r="E54" s="72" t="n">
        <f aca="false">IF(ISBLANK(E33),"",IF(AND(ISNUMBER(E33),ISNUMBER(E12)),E12-E33,IF(AND(E33="n.v.t.",E12="n.v.t."),"n.v.t.","FOUT")))</f>
        <v>0</v>
      </c>
      <c r="F54" s="72" t="n">
        <f aca="false">IF(ISBLANK(F33),"",IF(AND(ISNUMBER(F33),ISNUMBER(F12)),F12-F33,IF(AND(F33="n.v.t.",F12="n.v.t."),"n.v.t.","FOUT")))</f>
        <v>0</v>
      </c>
      <c r="G54" s="72" t="n">
        <f aca="false">IF(ISBLANK(G33),"",IF(AND(ISNUMBER(G33),ISNUMBER(G12)),G12-G33,IF(AND(G33="n.v.t.",G12="n.v.t."),"n.v.t.","FOUT")))</f>
        <v>0</v>
      </c>
      <c r="H54" s="72" t="n">
        <f aca="false">IF(ISBLANK(H33),"",IF(AND(ISNUMBER(H33),ISNUMBER(H12)),H12-H33,IF(AND(H33="n.v.t.",H12="n.v.t."),"n.v.t.","FOUT")))</f>
        <v>0</v>
      </c>
      <c r="I54" s="72" t="n">
        <f aca="false">IF(ISBLANK(I33),"",IF(AND(ISNUMBER(I33),ISNUMBER(I12)),I12-I33,IF(AND(I33="n.v.t.",I12="n.v.t."),"n.v.t.","FOUT")))</f>
        <v>0</v>
      </c>
      <c r="J54" s="72" t="n">
        <f aca="false">IF(ISBLANK(J33),"",IF(AND(ISNUMBER(J33),ISNUMBER(J12)),J12-J33,IF(AND(J33="n.v.t.",J12="n.v.t."),"n.v.t.","FOUT")))</f>
        <v>0</v>
      </c>
      <c r="K54" s="72" t="n">
        <f aca="false">IF(ISBLANK(K33),"",IF(AND(ISNUMBER(K33),ISNUMBER(K12)),K12-K33,IF(AND(K33="n.v.t.",K12="n.v.t."),"n.v.t.","FOUT")))</f>
        <v>0</v>
      </c>
      <c r="L54" s="72" t="n">
        <f aca="false">IF(ISBLANK(L33),"",IF(AND(ISNUMBER(L33),ISNUMBER(L12)),L12-L33,IF(AND(L33="n.v.t.",L12="n.v.t."),"n.v.t.","FOUT")))</f>
        <v>0</v>
      </c>
      <c r="M54" s="72" t="str">
        <f aca="false">IF(ISBLANK(M33),"",IF(AND(ISNUMBER(M33),ISNUMBER(M12)),M12-M33,IF(AND(M33="n.v.t.",M12="n.v.t."),"n.v.t.","FOUT")))</f>
        <v/>
      </c>
    </row>
    <row r="55" customFormat="false" ht="15" hidden="false" customHeight="false" outlineLevel="0" collapsed="false">
      <c r="A55" s="9" t="s">
        <v>403</v>
      </c>
      <c r="C55" s="72" t="n">
        <f aca="false">IF(ISBLANK(C34),"",IF(AND(ISNUMBER(C34),ISNUMBER(C13)),C13-C34,IF(AND(C34="n.v.t.",C13="n.v.t."),"n.v.t.","FOUT")))</f>
        <v>0</v>
      </c>
      <c r="D55" s="72" t="n">
        <f aca="false">IF(ISBLANK(D34),"",IF(AND(ISNUMBER(D34),ISNUMBER(D13)),D13-D34,IF(AND(D34="n.v.t.",D13="n.v.t."),"n.v.t.","FOUT")))</f>
        <v>0</v>
      </c>
      <c r="E55" s="72" t="n">
        <f aca="false">IF(ISBLANK(E34),"",IF(AND(ISNUMBER(E34),ISNUMBER(E13)),E13-E34,IF(AND(E34="n.v.t.",E13="n.v.t."),"n.v.t.","FOUT")))</f>
        <v>0</v>
      </c>
      <c r="F55" s="72" t="n">
        <f aca="false">IF(ISBLANK(F34),"",IF(AND(ISNUMBER(F34),ISNUMBER(F13)),F13-F34,IF(AND(F34="n.v.t.",F13="n.v.t."),"n.v.t.","FOUT")))</f>
        <v>0</v>
      </c>
      <c r="G55" s="72" t="n">
        <f aca="false">IF(ISBLANK(G34),"",IF(AND(ISNUMBER(G34),ISNUMBER(G13)),G13-G34,IF(AND(G34="n.v.t.",G13="n.v.t."),"n.v.t.","FOUT")))</f>
        <v>0</v>
      </c>
      <c r="H55" s="72" t="n">
        <f aca="false">IF(ISBLANK(H34),"",IF(AND(ISNUMBER(H34),ISNUMBER(H13)),H13-H34,IF(AND(H34="n.v.t.",H13="n.v.t."),"n.v.t.","FOUT")))</f>
        <v>0</v>
      </c>
      <c r="I55" s="72" t="n">
        <f aca="false">IF(ISBLANK(I34),"",IF(AND(ISNUMBER(I34),ISNUMBER(I13)),I13-I34,IF(AND(I34="n.v.t.",I13="n.v.t."),"n.v.t.","FOUT")))</f>
        <v>0</v>
      </c>
      <c r="J55" s="72" t="n">
        <f aca="false">IF(ISBLANK(J34),"",IF(AND(ISNUMBER(J34),ISNUMBER(J13)),J13-J34,IF(AND(J34="n.v.t.",J13="n.v.t."),"n.v.t.","FOUT")))</f>
        <v>0</v>
      </c>
      <c r="K55" s="72" t="n">
        <f aca="false">IF(ISBLANK(K34),"",IF(AND(ISNUMBER(K34),ISNUMBER(K13)),K13-K34,IF(AND(K34="n.v.t.",K13="n.v.t."),"n.v.t.","FOUT")))</f>
        <v>0</v>
      </c>
      <c r="L55" s="72" t="n">
        <f aca="false">IF(ISBLANK(L34),"",IF(AND(ISNUMBER(L34),ISNUMBER(L13)),L13-L34,IF(AND(L34="n.v.t.",L13="n.v.t."),"n.v.t.","FOUT")))</f>
        <v>0</v>
      </c>
      <c r="M55" s="72" t="str">
        <f aca="false">IF(ISBLANK(M34),"",IF(AND(ISNUMBER(M34),ISNUMBER(M13)),M13-M34,IF(AND(M34="n.v.t.",M13="n.v.t."),"n.v.t.","FOUT")))</f>
        <v/>
      </c>
    </row>
    <row r="56" customFormat="false" ht="15" hidden="false" customHeight="false" outlineLevel="0" collapsed="false">
      <c r="A56" s="9" t="s">
        <v>57</v>
      </c>
      <c r="C56" s="72" t="n">
        <f aca="false">IF(ISBLANK(C35),"",IF(AND(ISNUMBER(C35),ISNUMBER(C14)),C14-C35,IF(AND(C35="n.v.t.",C14="n.v.t."),"n.v.t.","FOUT")))</f>
        <v>0</v>
      </c>
      <c r="D56" s="72" t="n">
        <f aca="false">IF(ISBLANK(D35),"",IF(AND(ISNUMBER(D35),ISNUMBER(D14)),D14-D35,IF(AND(D35="n.v.t.",D14="n.v.t."),"n.v.t.","FOUT")))</f>
        <v>0</v>
      </c>
      <c r="E56" s="72" t="n">
        <f aca="false">IF(ISBLANK(E35),"",IF(AND(ISNUMBER(E35),ISNUMBER(E14)),E14-E35,IF(AND(E35="n.v.t.",E14="n.v.t."),"n.v.t.","FOUT")))</f>
        <v>0</v>
      </c>
      <c r="F56" s="72" t="n">
        <f aca="false">IF(ISBLANK(F35),"",IF(AND(ISNUMBER(F35),ISNUMBER(F14)),F14-F35,IF(AND(F35="n.v.t.",F14="n.v.t."),"n.v.t.","FOUT")))</f>
        <v>0</v>
      </c>
      <c r="G56" s="72" t="n">
        <f aca="false">IF(ISBLANK(G35),"",IF(AND(ISNUMBER(G35),ISNUMBER(G14)),G14-G35,IF(AND(G35="n.v.t.",G14="n.v.t."),"n.v.t.","FOUT")))</f>
        <v>0</v>
      </c>
      <c r="H56" s="72" t="n">
        <f aca="false">IF(ISBLANK(H35),"",IF(AND(ISNUMBER(H35),ISNUMBER(H14)),H14-H35,IF(AND(H35="n.v.t.",H14="n.v.t."),"n.v.t.","FOUT")))</f>
        <v>0</v>
      </c>
      <c r="I56" s="72" t="n">
        <f aca="false">IF(ISBLANK(I35),"",IF(AND(ISNUMBER(I35),ISNUMBER(I14)),I14-I35,IF(AND(I35="n.v.t.",I14="n.v.t."),"n.v.t.","FOUT")))</f>
        <v>0</v>
      </c>
      <c r="J56" s="72" t="n">
        <f aca="false">IF(ISBLANK(J35),"",IF(AND(ISNUMBER(J35),ISNUMBER(J14)),J14-J35,IF(AND(J35="n.v.t.",J14="n.v.t."),"n.v.t.","FOUT")))</f>
        <v>0</v>
      </c>
      <c r="K56" s="72" t="n">
        <f aca="false">IF(ISBLANK(K35),"",IF(AND(ISNUMBER(K35),ISNUMBER(K14)),K14-K35,IF(AND(K35="n.v.t.",K14="n.v.t."),"n.v.t.","FOUT")))</f>
        <v>0</v>
      </c>
      <c r="L56" s="72" t="n">
        <f aca="false">IF(ISBLANK(L35),"",IF(AND(ISNUMBER(L35),ISNUMBER(L14)),L14-L35,IF(AND(L35="n.v.t.",L14="n.v.t."),"n.v.t.","FOUT")))</f>
        <v>0</v>
      </c>
      <c r="M56" s="72" t="str">
        <f aca="false">IF(ISBLANK(M35),"",IF(AND(ISNUMBER(M35),ISNUMBER(M14)),M14-M35,IF(AND(M35="n.v.t.",M14="n.v.t."),"n.v.t.","FOUT")))</f>
        <v/>
      </c>
    </row>
    <row r="57" customFormat="false" ht="15" hidden="false" customHeight="false" outlineLevel="0" collapsed="false">
      <c r="A57" s="9" t="s">
        <v>404</v>
      </c>
      <c r="C57" s="72" t="n">
        <f aca="false">IF(ISBLANK(C36),"",IF(AND(ISNUMBER(C36),ISNUMBER(C15)),C15-C36,IF(AND(C36="n.v.t.",C15="n.v.t."),"n.v.t.","FOUT")))</f>
        <v>0</v>
      </c>
      <c r="D57" s="72" t="n">
        <f aca="false">IF(ISBLANK(D36),"",IF(AND(ISNUMBER(D36),ISNUMBER(D15)),D15-D36,IF(AND(D36="n.v.t.",D15="n.v.t."),"n.v.t.","FOUT")))</f>
        <v>0</v>
      </c>
      <c r="E57" s="72" t="n">
        <f aca="false">IF(ISBLANK(E36),"",IF(AND(ISNUMBER(E36),ISNUMBER(E15)),E15-E36,IF(AND(E36="n.v.t.",E15="n.v.t."),"n.v.t.","FOUT")))</f>
        <v>0</v>
      </c>
      <c r="F57" s="72" t="n">
        <f aca="false">IF(ISBLANK(F36),"",IF(AND(ISNUMBER(F36),ISNUMBER(F15)),F15-F36,IF(AND(F36="n.v.t.",F15="n.v.t."),"n.v.t.","FOUT")))</f>
        <v>0</v>
      </c>
      <c r="G57" s="72" t="n">
        <f aca="false">IF(ISBLANK(G36),"",IF(AND(ISNUMBER(G36),ISNUMBER(G15)),G15-G36,IF(AND(G36="n.v.t.",G15="n.v.t."),"n.v.t.","FOUT")))</f>
        <v>0</v>
      </c>
      <c r="H57" s="72" t="n">
        <f aca="false">IF(ISBLANK(H36),"",IF(AND(ISNUMBER(H36),ISNUMBER(H15)),H15-H36,IF(AND(H36="n.v.t.",H15="n.v.t."),"n.v.t.","FOUT")))</f>
        <v>0</v>
      </c>
      <c r="I57" s="72" t="n">
        <f aca="false">IF(ISBLANK(I36),"",IF(AND(ISNUMBER(I36),ISNUMBER(I15)),I15-I36,IF(AND(I36="n.v.t.",I15="n.v.t."),"n.v.t.","FOUT")))</f>
        <v>0</v>
      </c>
      <c r="J57" s="72" t="n">
        <f aca="false">IF(ISBLANK(J36),"",IF(AND(ISNUMBER(J36),ISNUMBER(J15)),J15-J36,IF(AND(J36="n.v.t.",J15="n.v.t."),"n.v.t.","FOUT")))</f>
        <v>0</v>
      </c>
      <c r="K57" s="72" t="n">
        <f aca="false">IF(ISBLANK(K36),"",IF(AND(ISNUMBER(K36),ISNUMBER(K15)),K15-K36,IF(AND(K36="n.v.t.",K15="n.v.t."),"n.v.t.","FOUT")))</f>
        <v>0</v>
      </c>
      <c r="L57" s="72" t="n">
        <f aca="false">IF(ISBLANK(L36),"",IF(AND(ISNUMBER(L36),ISNUMBER(L15)),L15-L36,IF(AND(L36="n.v.t.",L15="n.v.t."),"n.v.t.","FOUT")))</f>
        <v>0</v>
      </c>
      <c r="M57" s="72" t="str">
        <f aca="false">IF(ISBLANK(M36),"",IF(AND(ISNUMBER(M36),ISNUMBER(M15)),M15-M36,IF(AND(M36="n.v.t.",M15="n.v.t."),"n.v.t.","FOUT")))</f>
        <v/>
      </c>
    </row>
    <row r="58" customFormat="false" ht="15" hidden="false" customHeight="false" outlineLevel="0" collapsed="false">
      <c r="A58" s="9" t="s">
        <v>405</v>
      </c>
      <c r="C58" s="72" t="n">
        <f aca="false">IF(ISBLANK(C37),"",IF(AND(ISNUMBER(C37),ISNUMBER(C16)),C16-C37,IF(AND(C37="n.v.t.",C16="n.v.t."),"n.v.t.","FOUT")))</f>
        <v>0</v>
      </c>
      <c r="D58" s="72" t="n">
        <f aca="false">IF(ISBLANK(D37),"",IF(AND(ISNUMBER(D37),ISNUMBER(D16)),D16-D37,IF(AND(D37="n.v.t.",D16="n.v.t."),"n.v.t.","FOUT")))</f>
        <v>0</v>
      </c>
      <c r="E58" s="72" t="n">
        <f aca="false">IF(ISBLANK(E37),"",IF(AND(ISNUMBER(E37),ISNUMBER(E16)),E16-E37,IF(AND(E37="n.v.t.",E16="n.v.t."),"n.v.t.","FOUT")))</f>
        <v>0</v>
      </c>
      <c r="F58" s="72" t="n">
        <f aca="false">IF(ISBLANK(F37),"",IF(AND(ISNUMBER(F37),ISNUMBER(F16)),F16-F37,IF(AND(F37="n.v.t.",F16="n.v.t."),"n.v.t.","FOUT")))</f>
        <v>0</v>
      </c>
      <c r="G58" s="72" t="n">
        <f aca="false">IF(ISBLANK(G37),"",IF(AND(ISNUMBER(G37),ISNUMBER(G16)),G16-G37,IF(AND(G37="n.v.t.",G16="n.v.t."),"n.v.t.","FOUT")))</f>
        <v>0</v>
      </c>
      <c r="H58" s="72" t="n">
        <f aca="false">IF(ISBLANK(H37),"",IF(AND(ISNUMBER(H37),ISNUMBER(H16)),H16-H37,IF(AND(H37="n.v.t.",H16="n.v.t."),"n.v.t.","FOUT")))</f>
        <v>0</v>
      </c>
      <c r="I58" s="72" t="n">
        <f aca="false">IF(ISBLANK(I37),"",IF(AND(ISNUMBER(I37),ISNUMBER(I16)),I16-I37,IF(AND(I37="n.v.t.",I16="n.v.t."),"n.v.t.","FOUT")))</f>
        <v>0</v>
      </c>
      <c r="J58" s="72" t="n">
        <f aca="false">IF(ISBLANK(J37),"",IF(AND(ISNUMBER(J37),ISNUMBER(J16)),J16-J37,IF(AND(J37="n.v.t.",J16="n.v.t."),"n.v.t.","FOUT")))</f>
        <v>0</v>
      </c>
      <c r="K58" s="72" t="n">
        <f aca="false">IF(ISBLANK(K37),"",IF(AND(ISNUMBER(K37),ISNUMBER(K16)),K16-K37,IF(AND(K37="n.v.t.",K16="n.v.t."),"n.v.t.","FOUT")))</f>
        <v>0</v>
      </c>
      <c r="L58" s="72" t="n">
        <f aca="false">IF(ISBLANK(L37),"",IF(AND(ISNUMBER(L37),ISNUMBER(L16)),L16-L37,IF(AND(L37="n.v.t.",L16="n.v.t."),"n.v.t.","FOUT")))</f>
        <v>0</v>
      </c>
      <c r="M58" s="72" t="str">
        <f aca="false">IF(ISBLANK(M37),"",IF(AND(ISNUMBER(M37),ISNUMBER(M16)),M16-M37,IF(AND(M37="n.v.t.",M16="n.v.t."),"n.v.t.","FOUT")))</f>
        <v/>
      </c>
    </row>
    <row r="59" customFormat="false" ht="15" hidden="false" customHeight="false" outlineLevel="0" collapsed="false">
      <c r="A59" s="9" t="s">
        <v>406</v>
      </c>
      <c r="C59" s="72" t="n">
        <f aca="false">IF(ISBLANK(C38),"",IF(AND(ISNUMBER(C38),ISNUMBER(C17)),C17-C38,IF(AND(C38="n.v.t.",C17="n.v.t."),"n.v.t.","FOUT")))</f>
        <v>0</v>
      </c>
      <c r="D59" s="72" t="n">
        <f aca="false">IF(ISBLANK(D38),"",IF(AND(ISNUMBER(D38),ISNUMBER(D17)),D17-D38,IF(AND(D38="n.v.t.",D17="n.v.t."),"n.v.t.","FOUT")))</f>
        <v>0</v>
      </c>
      <c r="E59" s="72" t="n">
        <f aca="false">IF(ISBLANK(E38),"",IF(AND(ISNUMBER(E38),ISNUMBER(E17)),E17-E38,IF(AND(E38="n.v.t.",E17="n.v.t."),"n.v.t.","FOUT")))</f>
        <v>0</v>
      </c>
      <c r="F59" s="72" t="n">
        <f aca="false">IF(ISBLANK(F38),"",IF(AND(ISNUMBER(F38),ISNUMBER(F17)),F17-F38,IF(AND(F38="n.v.t.",F17="n.v.t."),"n.v.t.","FOUT")))</f>
        <v>0</v>
      </c>
      <c r="G59" s="72" t="n">
        <f aca="false">IF(ISBLANK(G38),"",IF(AND(ISNUMBER(G38),ISNUMBER(G17)),G17-G38,IF(AND(G38="n.v.t.",G17="n.v.t."),"n.v.t.","FOUT")))</f>
        <v>0</v>
      </c>
      <c r="H59" s="72" t="n">
        <f aca="false">IF(ISBLANK(H38),"",IF(AND(ISNUMBER(H38),ISNUMBER(H17)),H17-H38,IF(AND(H38="n.v.t.",H17="n.v.t."),"n.v.t.","FOUT")))</f>
        <v>0</v>
      </c>
      <c r="I59" s="72" t="n">
        <f aca="false">IF(ISBLANK(I38),"",IF(AND(ISNUMBER(I38),ISNUMBER(I17)),I17-I38,IF(AND(I38="n.v.t.",I17="n.v.t."),"n.v.t.","FOUT")))</f>
        <v>0</v>
      </c>
      <c r="J59" s="72" t="n">
        <f aca="false">IF(ISBLANK(J38),"",IF(AND(ISNUMBER(J38),ISNUMBER(J17)),J17-J38,IF(AND(J38="n.v.t.",J17="n.v.t."),"n.v.t.","FOUT")))</f>
        <v>0</v>
      </c>
      <c r="K59" s="72" t="n">
        <f aca="false">IF(ISBLANK(K38),"",IF(AND(ISNUMBER(K38),ISNUMBER(K17)),K17-K38,IF(AND(K38="n.v.t.",K17="n.v.t."),"n.v.t.","FOUT")))</f>
        <v>0</v>
      </c>
      <c r="L59" s="72" t="n">
        <f aca="false">IF(ISBLANK(L38),"",IF(AND(ISNUMBER(L38),ISNUMBER(L17)),L17-L38,IF(AND(L38="n.v.t.",L17="n.v.t."),"n.v.t.","FOUT")))</f>
        <v>0</v>
      </c>
      <c r="M59" s="72" t="str">
        <f aca="false">IF(ISBLANK(M38),"",IF(AND(ISNUMBER(M38),ISNUMBER(M17)),M17-M38,IF(AND(M38="n.v.t.",M17="n.v.t."),"n.v.t.","FOUT")))</f>
        <v/>
      </c>
    </row>
    <row r="60" customFormat="false" ht="15" hidden="false" customHeight="false" outlineLevel="0" collapsed="false">
      <c r="A60" s="9" t="s">
        <v>43</v>
      </c>
      <c r="C60" s="72" t="n">
        <f aca="false">IF(ISBLANK(C39),"",IF(AND(ISNUMBER(C39),ISNUMBER(C18)),C18-C39,IF(AND(C39="n.v.t.",C18="n.v.t."),"n.v.t.","FOUT")))</f>
        <v>0</v>
      </c>
      <c r="D60" s="72" t="n">
        <f aca="false">IF(ISBLANK(D39),"",IF(AND(ISNUMBER(D39),ISNUMBER(D18)),D18-D39,IF(AND(D39="n.v.t.",D18="n.v.t."),"n.v.t.","FOUT")))</f>
        <v>0</v>
      </c>
      <c r="E60" s="72" t="n">
        <f aca="false">IF(ISBLANK(E39),"",IF(AND(ISNUMBER(E39),ISNUMBER(E18)),E18-E39,IF(AND(E39="n.v.t.",E18="n.v.t."),"n.v.t.","FOUT")))</f>
        <v>0</v>
      </c>
      <c r="F60" s="72" t="n">
        <f aca="false">IF(ISBLANK(F39),"",IF(AND(ISNUMBER(F39),ISNUMBER(F18)),F18-F39,IF(AND(F39="n.v.t.",F18="n.v.t."),"n.v.t.","FOUT")))</f>
        <v>0</v>
      </c>
      <c r="G60" s="72" t="n">
        <f aca="false">IF(ISBLANK(G39),"",IF(AND(ISNUMBER(G39),ISNUMBER(G18)),G18-G39,IF(AND(G39="n.v.t.",G18="n.v.t."),"n.v.t.","FOUT")))</f>
        <v>0</v>
      </c>
      <c r="H60" s="72" t="n">
        <f aca="false">IF(ISBLANK(H39),"",IF(AND(ISNUMBER(H39),ISNUMBER(H18)),H18-H39,IF(AND(H39="n.v.t.",H18="n.v.t."),"n.v.t.","FOUT")))</f>
        <v>0</v>
      </c>
      <c r="I60" s="72" t="n">
        <f aca="false">IF(ISBLANK(I39),"",IF(AND(ISNUMBER(I39),ISNUMBER(I18)),I18-I39,IF(AND(I39="n.v.t.",I18="n.v.t."),"n.v.t.","FOUT")))</f>
        <v>0</v>
      </c>
      <c r="J60" s="72" t="n">
        <f aca="false">IF(ISBLANK(J39),"",IF(AND(ISNUMBER(J39),ISNUMBER(J18)),J18-J39,IF(AND(J39="n.v.t.",J18="n.v.t."),"n.v.t.","FOUT")))</f>
        <v>0</v>
      </c>
      <c r="K60" s="72" t="n">
        <f aca="false">IF(ISBLANK(K39),"",IF(AND(ISNUMBER(K39),ISNUMBER(K18)),K18-K39,IF(AND(K39="n.v.t.",K18="n.v.t."),"n.v.t.","FOUT")))</f>
        <v>0</v>
      </c>
      <c r="L60" s="72" t="n">
        <f aca="false">IF(ISBLANK(L39),"",IF(AND(ISNUMBER(L39),ISNUMBER(L18)),L18-L39,IF(AND(L39="n.v.t.",L18="n.v.t."),"n.v.t.","FOUT")))</f>
        <v>0</v>
      </c>
      <c r="M60" s="72" t="str">
        <f aca="false">IF(ISBLANK(M39),"",IF(AND(ISNUMBER(M39),ISNUMBER(M18)),M18-M39,IF(AND(M39="n.v.t.",M18="n.v.t."),"n.v.t.","FOUT")))</f>
        <v/>
      </c>
    </row>
    <row r="61" customFormat="false" ht="15" hidden="false" customHeight="false" outlineLevel="0" collapsed="false">
      <c r="A61" s="9" t="s">
        <v>58</v>
      </c>
      <c r="C61" s="72" t="n">
        <f aca="false">IF(ISBLANK(C40),"",IF(AND(ISNUMBER(C40),ISNUMBER(C19)),C19-C40,IF(AND(C40="n.v.t.",C19="n.v.t."),"n.v.t.","FOUT")))</f>
        <v>0</v>
      </c>
      <c r="D61" s="72" t="n">
        <f aca="false">IF(ISBLANK(D40),"",IF(AND(ISNUMBER(D40),ISNUMBER(D19)),D19-D40,IF(AND(D40="n.v.t.",D19="n.v.t."),"n.v.t.","FOUT")))</f>
        <v>0</v>
      </c>
      <c r="E61" s="72" t="n">
        <f aca="false">IF(ISBLANK(E40),"",IF(AND(ISNUMBER(E40),ISNUMBER(E19)),E19-E40,IF(AND(E40="n.v.t.",E19="n.v.t."),"n.v.t.","FOUT")))</f>
        <v>0</v>
      </c>
      <c r="F61" s="72" t="n">
        <f aca="false">IF(ISBLANK(F40),"",IF(AND(ISNUMBER(F40),ISNUMBER(F19)),F19-F40,IF(AND(F40="n.v.t.",F19="n.v.t."),"n.v.t.","FOUT")))</f>
        <v>0</v>
      </c>
      <c r="G61" s="72" t="n">
        <f aca="false">IF(ISBLANK(G40),"",IF(AND(ISNUMBER(G40),ISNUMBER(G19)),G19-G40,IF(AND(G40="n.v.t.",G19="n.v.t."),"n.v.t.","FOUT")))</f>
        <v>0</v>
      </c>
      <c r="H61" s="72" t="n">
        <f aca="false">IF(ISBLANK(H40),"",IF(AND(ISNUMBER(H40),ISNUMBER(H19)),H19-H40,IF(AND(H40="n.v.t.",H19="n.v.t."),"n.v.t.","FOUT")))</f>
        <v>0</v>
      </c>
      <c r="I61" s="72" t="n">
        <f aca="false">IF(ISBLANK(I40),"",IF(AND(ISNUMBER(I40),ISNUMBER(I19)),I19-I40,IF(AND(I40="n.v.t.",I19="n.v.t."),"n.v.t.","FOUT")))</f>
        <v>0</v>
      </c>
      <c r="J61" s="72" t="n">
        <f aca="false">IF(ISBLANK(J40),"",IF(AND(ISNUMBER(J40),ISNUMBER(J19)),J19-J40,IF(AND(J40="n.v.t.",J19="n.v.t."),"n.v.t.","FOUT")))</f>
        <v>0</v>
      </c>
      <c r="K61" s="72" t="n">
        <f aca="false">IF(ISBLANK(K40),"",IF(AND(ISNUMBER(K40),ISNUMBER(K19)),K19-K40,IF(AND(K40="n.v.t.",K19="n.v.t."),"n.v.t.","FOUT")))</f>
        <v>0</v>
      </c>
      <c r="L61" s="72" t="n">
        <f aca="false">IF(ISBLANK(L40),"",IF(AND(ISNUMBER(L40),ISNUMBER(L19)),L19-L40,IF(AND(L40="n.v.t.",L19="n.v.t."),"n.v.t.","FOUT")))</f>
        <v>0</v>
      </c>
      <c r="M61" s="72" t="str">
        <f aca="false">IF(ISBLANK(M40),"",IF(AND(ISNUMBER(M40),ISNUMBER(M19)),M19-M40,IF(AND(M40="n.v.t.",M19="n.v.t."),"n.v.t.","FOUT")))</f>
        <v/>
      </c>
    </row>
    <row r="62" customFormat="false" ht="15" hidden="false" customHeight="false" outlineLevel="0" collapsed="false">
      <c r="A62" s="9" t="s">
        <v>407</v>
      </c>
      <c r="C62" s="72" t="n">
        <f aca="false">IF(ISBLANK(C41),"",IF(AND(ISNUMBER(C41),ISNUMBER(C20)),C20-C41,IF(AND(C41="n.v.t.",C20="n.v.t."),"n.v.t.","FOUT")))</f>
        <v>0</v>
      </c>
      <c r="D62" s="72" t="n">
        <f aca="false">IF(ISBLANK(D41),"",IF(AND(ISNUMBER(D41),ISNUMBER(D20)),D20-D41,IF(AND(D41="n.v.t.",D20="n.v.t."),"n.v.t.","FOUT")))</f>
        <v>0</v>
      </c>
      <c r="E62" s="72" t="n">
        <f aca="false">IF(ISBLANK(E41),"",IF(AND(ISNUMBER(E41),ISNUMBER(E20)),E20-E41,IF(AND(E41="n.v.t.",E20="n.v.t."),"n.v.t.","FOUT")))</f>
        <v>0</v>
      </c>
      <c r="F62" s="72" t="n">
        <f aca="false">IF(ISBLANK(F41),"",IF(AND(ISNUMBER(F41),ISNUMBER(F20)),F20-F41,IF(AND(F41="n.v.t.",F20="n.v.t."),"n.v.t.","FOUT")))</f>
        <v>0</v>
      </c>
      <c r="G62" s="72" t="n">
        <f aca="false">IF(ISBLANK(G41),"",IF(AND(ISNUMBER(G41),ISNUMBER(G20)),G20-G41,IF(AND(G41="n.v.t.",G20="n.v.t."),"n.v.t.","FOUT")))</f>
        <v>0</v>
      </c>
      <c r="H62" s="72" t="n">
        <f aca="false">IF(ISBLANK(H41),"",IF(AND(ISNUMBER(H41),ISNUMBER(H20)),H20-H41,IF(AND(H41="n.v.t.",H20="n.v.t."),"n.v.t.","FOUT")))</f>
        <v>0</v>
      </c>
      <c r="I62" s="72" t="n">
        <f aca="false">IF(ISBLANK(I41),"",IF(AND(ISNUMBER(I41),ISNUMBER(I20)),I20-I41,IF(AND(I41="n.v.t.",I20="n.v.t."),"n.v.t.","FOUT")))</f>
        <v>0</v>
      </c>
      <c r="J62" s="72" t="n">
        <f aca="false">IF(ISBLANK(J41),"",IF(AND(ISNUMBER(J41),ISNUMBER(J20)),J20-J41,IF(AND(J41="n.v.t.",J20="n.v.t."),"n.v.t.","FOUT")))</f>
        <v>0</v>
      </c>
      <c r="K62" s="72" t="n">
        <f aca="false">IF(ISBLANK(K41),"",IF(AND(ISNUMBER(K41),ISNUMBER(K20)),K20-K41,IF(AND(K41="n.v.t.",K20="n.v.t."),"n.v.t.","FOUT")))</f>
        <v>0</v>
      </c>
      <c r="L62" s="72" t="n">
        <f aca="false">IF(ISBLANK(L41),"",IF(AND(ISNUMBER(L41),ISNUMBER(L20)),L20-L41,IF(AND(L41="n.v.t.",L20="n.v.t."),"n.v.t.","FOUT")))</f>
        <v>0</v>
      </c>
      <c r="M62" s="72" t="str">
        <f aca="false">IF(ISBLANK(M41),"",IF(AND(ISNUMBER(M41),ISNUMBER(M20)),M20-M41,IF(AND(M41="n.v.t.",M20="n.v.t."),"n.v.t.","FOUT")))</f>
        <v/>
      </c>
    </row>
    <row r="63" customFormat="false" ht="15" hidden="false" customHeight="false" outlineLevel="0" collapsed="false">
      <c r="A63" s="9" t="s">
        <v>45</v>
      </c>
      <c r="C63" s="72" t="n">
        <f aca="false">IF(ISBLANK(C42),"",IF(AND(ISNUMBER(C42),ISNUMBER(C21)),C21-C42,IF(AND(C42="n.v.t.",C21="n.v.t."),"n.v.t.","FOUT")))</f>
        <v>0</v>
      </c>
      <c r="D63" s="72" t="n">
        <f aca="false">IF(ISBLANK(D42),"",IF(AND(ISNUMBER(D42),ISNUMBER(D21)),D21-D42,IF(AND(D42="n.v.t.",D21="n.v.t."),"n.v.t.","FOUT")))</f>
        <v>0</v>
      </c>
      <c r="E63" s="72" t="n">
        <f aca="false">IF(ISBLANK(E42),"",IF(AND(ISNUMBER(E42),ISNUMBER(E21)),E21-E42,IF(AND(E42="n.v.t.",E21="n.v.t."),"n.v.t.","FOUT")))</f>
        <v>0</v>
      </c>
      <c r="F63" s="72" t="n">
        <f aca="false">IF(ISBLANK(F42),"",IF(AND(ISNUMBER(F42),ISNUMBER(F21)),F21-F42,IF(AND(F42="n.v.t.",F21="n.v.t."),"n.v.t.","FOUT")))</f>
        <v>0</v>
      </c>
      <c r="G63" s="72" t="n">
        <f aca="false">IF(ISBLANK(G42),"",IF(AND(ISNUMBER(G42),ISNUMBER(G21)),G21-G42,IF(AND(G42="n.v.t.",G21="n.v.t."),"n.v.t.","FOUT")))</f>
        <v>0</v>
      </c>
      <c r="H63" s="72" t="n">
        <f aca="false">IF(ISBLANK(H42),"",IF(AND(ISNUMBER(H42),ISNUMBER(H21)),H21-H42,IF(AND(H42="n.v.t.",H21="n.v.t."),"n.v.t.","FOUT")))</f>
        <v>0</v>
      </c>
      <c r="I63" s="72" t="n">
        <f aca="false">IF(ISBLANK(I42),"",IF(AND(ISNUMBER(I42),ISNUMBER(I21)),I21-I42,IF(AND(I42="n.v.t.",I21="n.v.t."),"n.v.t.","FOUT")))</f>
        <v>0</v>
      </c>
      <c r="J63" s="72" t="n">
        <f aca="false">IF(ISBLANK(J42),"",IF(AND(ISNUMBER(J42),ISNUMBER(J21)),J21-J42,IF(AND(J42="n.v.t.",J21="n.v.t."),"n.v.t.","FOUT")))</f>
        <v>0</v>
      </c>
      <c r="K63" s="72" t="n">
        <f aca="false">IF(ISBLANK(K42),"",IF(AND(ISNUMBER(K42),ISNUMBER(K21)),K21-K42,IF(AND(K42="n.v.t.",K21="n.v.t."),"n.v.t.","FOUT")))</f>
        <v>0</v>
      </c>
      <c r="L63" s="72" t="n">
        <f aca="false">IF(ISBLANK(L42),"",IF(AND(ISNUMBER(L42),ISNUMBER(L21)),L21-L42,IF(AND(L42="n.v.t.",L21="n.v.t."),"n.v.t.","FOUT")))</f>
        <v>0</v>
      </c>
      <c r="M63" s="72" t="str">
        <f aca="false">IF(ISBLANK(M42),"",IF(AND(ISNUMBER(M42),ISNUMBER(M21)),M21-M42,IF(AND(M42="n.v.t.",M21="n.v.t."),"n.v.t.","FOUT")))</f>
        <v/>
      </c>
    </row>
    <row r="64" customFormat="false" ht="15" hidden="false" customHeight="false" outlineLevel="0" collapsed="false">
      <c r="A64" s="9" t="s">
        <v>50</v>
      </c>
      <c r="C64" s="72" t="n">
        <f aca="false">IF(ISBLANK(C43),"",IF(AND(ISNUMBER(C43),ISNUMBER(C22)),C22-C43,IF(AND(C43="n.v.t.",C22="n.v.t."),"n.v.t.","FOUT")))</f>
        <v>3.49245965480804E-010</v>
      </c>
      <c r="D64" s="72" t="n">
        <f aca="false">IF(ISBLANK(D43),"",IF(AND(ISNUMBER(D43),ISNUMBER(D22)),D22-D43,IF(AND(D43="n.v.t.",D22="n.v.t."),"n.v.t.","FOUT")))</f>
        <v>3.49245965480804E-010</v>
      </c>
      <c r="E64" s="72" t="n">
        <f aca="false">IF(ISBLANK(E43),"",IF(AND(ISNUMBER(E43),ISNUMBER(E22)),E22-E43,IF(AND(E43="n.v.t.",E22="n.v.t."),"n.v.t.","FOUT")))</f>
        <v>0</v>
      </c>
      <c r="F64" s="72" t="n">
        <f aca="false">IF(ISBLANK(F43),"",IF(AND(ISNUMBER(F43),ISNUMBER(F22)),F22-F43,IF(AND(F43="n.v.t.",F22="n.v.t."),"n.v.t.","FOUT")))</f>
        <v>3.49245965480804E-010</v>
      </c>
      <c r="G64" s="72" t="n">
        <f aca="false">IF(ISBLANK(G43),"",IF(AND(ISNUMBER(G43),ISNUMBER(G22)),G22-G43,IF(AND(G43="n.v.t.",G22="n.v.t."),"n.v.t.","FOUT")))</f>
        <v>0</v>
      </c>
      <c r="H64" s="72" t="n">
        <f aca="false">IF(ISBLANK(H43),"",IF(AND(ISNUMBER(H43),ISNUMBER(H22)),H22-H43,IF(AND(H43="n.v.t.",H22="n.v.t."),"n.v.t.","FOUT")))</f>
        <v>0</v>
      </c>
      <c r="I64" s="72" t="n">
        <f aca="false">IF(ISBLANK(I43),"",IF(AND(ISNUMBER(I43),ISNUMBER(I22)),I22-I43,IF(AND(I43="n.v.t.",I22="n.v.t."),"n.v.t.","FOUT")))</f>
        <v>0</v>
      </c>
      <c r="J64" s="72" t="n">
        <f aca="false">IF(ISBLANK(J43),"",IF(AND(ISNUMBER(J43),ISNUMBER(J22)),J22-J43,IF(AND(J43="n.v.t.",J22="n.v.t."),"n.v.t.","FOUT")))</f>
        <v>0</v>
      </c>
      <c r="K64" s="72" t="n">
        <f aca="false">IF(ISBLANK(K43),"",IF(AND(ISNUMBER(K43),ISNUMBER(K22)),K22-K43,IF(AND(K43="n.v.t.",K22="n.v.t."),"n.v.t.","FOUT")))</f>
        <v>0</v>
      </c>
      <c r="L64" s="72" t="n">
        <f aca="false">IF(ISBLANK(L43),"",IF(AND(ISNUMBER(L43),ISNUMBER(L22)),L22-L43,IF(AND(L43="n.v.t.",L22="n.v.t."),"n.v.t.","FOUT")))</f>
        <v>0</v>
      </c>
      <c r="M64" s="72" t="str">
        <f aca="false">IF(ISBLANK(M43),"",IF(AND(ISNUMBER(M43),ISNUMBER(M22)),M22-M43,IF(AND(M43="n.v.t.",M22="n.v.t."),"n.v.t.","FOUT")))</f>
        <v/>
      </c>
    </row>
    <row r="65" customFormat="false" ht="15" hidden="false" customHeight="false" outlineLevel="0" collapsed="false">
      <c r="A65" s="9" t="s">
        <v>408</v>
      </c>
      <c r="C65" s="72" t="n">
        <f aca="false">IF(ISBLANK(C44),"",IF(AND(ISNUMBER(C44),ISNUMBER(C23)),C23-C44,IF(AND(C44="n.v.t.",C23="n.v.t."),"n.v.t.","FOUT")))</f>
        <v>0</v>
      </c>
      <c r="D65" s="72" t="n">
        <f aca="false">IF(ISBLANK(D44),"",IF(AND(ISNUMBER(D44),ISNUMBER(D23)),D23-D44,IF(AND(D44="n.v.t.",D23="n.v.t."),"n.v.t.","FOUT")))</f>
        <v>0</v>
      </c>
      <c r="E65" s="72" t="n">
        <f aca="false">IF(ISBLANK(E44),"",IF(AND(ISNUMBER(E44),ISNUMBER(E23)),E23-E44,IF(AND(E44="n.v.t.",E23="n.v.t."),"n.v.t.","FOUT")))</f>
        <v>0</v>
      </c>
      <c r="F65" s="72" t="n">
        <f aca="false">IF(ISBLANK(F44),"",IF(AND(ISNUMBER(F44),ISNUMBER(F23)),F23-F44,IF(AND(F44="n.v.t.",F23="n.v.t."),"n.v.t.","FOUT")))</f>
        <v>-3.49245965480804E-010</v>
      </c>
      <c r="G65" s="72" t="n">
        <f aca="false">IF(ISBLANK(G44),"",IF(AND(ISNUMBER(G44),ISNUMBER(G23)),G23-G44,IF(AND(G44="n.v.t.",G23="n.v.t."),"n.v.t.","FOUT")))</f>
        <v>0</v>
      </c>
      <c r="H65" s="72" t="n">
        <f aca="false">IF(ISBLANK(H44),"",IF(AND(ISNUMBER(H44),ISNUMBER(H23)),H23-H44,IF(AND(H44="n.v.t.",H23="n.v.t."),"n.v.t.","FOUT")))</f>
        <v>0</v>
      </c>
      <c r="I65" s="72" t="n">
        <f aca="false">IF(ISBLANK(I44),"",IF(AND(ISNUMBER(I44),ISNUMBER(I23)),I23-I44,IF(AND(I44="n.v.t.",I23="n.v.t."),"n.v.t.","FOUT")))</f>
        <v>0</v>
      </c>
      <c r="J65" s="72" t="n">
        <f aca="false">IF(ISBLANK(J44),"",IF(AND(ISNUMBER(J44),ISNUMBER(J23)),J23-J44,IF(AND(J44="n.v.t.",J23="n.v.t."),"n.v.t.","FOUT")))</f>
        <v>0</v>
      </c>
      <c r="K65" s="72" t="n">
        <f aca="false">IF(ISBLANK(K44),"",IF(AND(ISNUMBER(K44),ISNUMBER(K23)),K23-K44,IF(AND(K44="n.v.t.",K23="n.v.t."),"n.v.t.","FOUT")))</f>
        <v>0</v>
      </c>
      <c r="L65" s="72" t="n">
        <f aca="false">IF(ISBLANK(L44),"",IF(AND(ISNUMBER(L44),ISNUMBER(L23)),L23-L44,IF(AND(L44="n.v.t.",L23="n.v.t."),"n.v.t.","FOUT")))</f>
        <v>0</v>
      </c>
      <c r="M65" s="72" t="str">
        <f aca="false">IF(ISBLANK(M44),"",IF(AND(ISNUMBER(M44),ISNUMBER(M23)),M23-M44,IF(AND(M44="n.v.t.",M23="n.v.t."),"n.v.t.","FOUT")))</f>
        <v/>
      </c>
    </row>
    <row r="66" customFormat="false" ht="15" hidden="false" customHeight="false" outlineLevel="0" collapsed="false">
      <c r="A66" s="9" t="s">
        <v>409</v>
      </c>
      <c r="C66" s="72" t="n">
        <f aca="false">IF(ISBLANK(C45),"",IF(AND(ISNUMBER(C45),ISNUMBER(C24)),C24-C45,IF(AND(C45="n.v.t.",C24="n.v.t."),"n.v.t.","FOUT")))</f>
        <v>0</v>
      </c>
      <c r="D66" s="72" t="n">
        <f aca="false">IF(ISBLANK(D45),"",IF(AND(ISNUMBER(D45),ISNUMBER(D24)),D24-D45,IF(AND(D45="n.v.t.",D24="n.v.t."),"n.v.t.","FOUT")))</f>
        <v>0</v>
      </c>
      <c r="E66" s="72" t="n">
        <f aca="false">IF(ISBLANK(E45),"",IF(AND(ISNUMBER(E45),ISNUMBER(E24)),E24-E45,IF(AND(E45="n.v.t.",E24="n.v.t."),"n.v.t.","FOUT")))</f>
        <v>0</v>
      </c>
      <c r="F66" s="72" t="n">
        <f aca="false">IF(ISBLANK(F45),"",IF(AND(ISNUMBER(F45),ISNUMBER(F24)),F24-F45,IF(AND(F45="n.v.t.",F24="n.v.t."),"n.v.t.","FOUT")))</f>
        <v>0</v>
      </c>
      <c r="G66" s="72" t="n">
        <f aca="false">IF(ISBLANK(G45),"",IF(AND(ISNUMBER(G45),ISNUMBER(G24)),G24-G45,IF(AND(G45="n.v.t.",G24="n.v.t."),"n.v.t.","FOUT")))</f>
        <v>0</v>
      </c>
      <c r="H66" s="72" t="n">
        <f aca="false">IF(ISBLANK(H45),"",IF(AND(ISNUMBER(H45),ISNUMBER(H24)),H24-H45,IF(AND(H45="n.v.t.",H24="n.v.t."),"n.v.t.","FOUT")))</f>
        <v>0</v>
      </c>
      <c r="I66" s="72" t="n">
        <f aca="false">IF(ISBLANK(I45),"",IF(AND(ISNUMBER(I45),ISNUMBER(I24)),I24-I45,IF(AND(I45="n.v.t.",I24="n.v.t."),"n.v.t.","FOUT")))</f>
        <v>0</v>
      </c>
      <c r="J66" s="72" t="n">
        <f aca="false">IF(ISBLANK(J45),"",IF(AND(ISNUMBER(J45),ISNUMBER(J24)),J24-J45,IF(AND(J45="n.v.t.",J24="n.v.t."),"n.v.t.","FOUT")))</f>
        <v>0</v>
      </c>
      <c r="K66" s="72" t="n">
        <f aca="false">IF(ISBLANK(K45),"",IF(AND(ISNUMBER(K45),ISNUMBER(K24)),K24-K45,IF(AND(K45="n.v.t.",K24="n.v.t."),"n.v.t.","FOUT")))</f>
        <v>0</v>
      </c>
      <c r="L66" s="72" t="n">
        <f aca="false">IF(ISBLANK(L45),"",IF(AND(ISNUMBER(L45),ISNUMBER(L24)),L24-L45,IF(AND(L45="n.v.t.",L24="n.v.t."),"n.v.t.","FOUT")))</f>
        <v>0</v>
      </c>
      <c r="M66" s="72" t="str">
        <f aca="false">IF(ISBLANK(M45),"",IF(AND(ISNUMBER(M45),ISNUMBER(M24)),M24-M45,IF(AND(M45="n.v.t.",M24="n.v.t."),"n.v.t.","FOUT")))</f>
        <v/>
      </c>
    </row>
    <row r="67" customFormat="false" ht="15" hidden="false" customHeight="false" outlineLevel="0" collapsed="false">
      <c r="A67" s="9" t="s">
        <v>47</v>
      </c>
      <c r="C67" s="72" t="n">
        <f aca="false">IF(ISBLANK(C46),"",IF(AND(ISNUMBER(C46),ISNUMBER(C25)),C25-C46,IF(AND(C46="n.v.t.",C25="n.v.t."),"n.v.t.","FOUT")))</f>
        <v>0</v>
      </c>
      <c r="D67" s="72" t="n">
        <f aca="false">IF(ISBLANK(D46),"",IF(AND(ISNUMBER(D46),ISNUMBER(D25)),D25-D46,IF(AND(D46="n.v.t.",D25="n.v.t."),"n.v.t.","FOUT")))</f>
        <v>0</v>
      </c>
      <c r="E67" s="72" t="n">
        <f aca="false">IF(ISBLANK(E46),"",IF(AND(ISNUMBER(E46),ISNUMBER(E25)),E25-E46,IF(AND(E46="n.v.t.",E25="n.v.t."),"n.v.t.","FOUT")))</f>
        <v>0</v>
      </c>
      <c r="F67" s="72" t="n">
        <f aca="false">IF(ISBLANK(F46),"",IF(AND(ISNUMBER(F46),ISNUMBER(F25)),F25-F46,IF(AND(F46="n.v.t.",F25="n.v.t."),"n.v.t.","FOUT")))</f>
        <v>0</v>
      </c>
      <c r="G67" s="72" t="n">
        <f aca="false">IF(ISBLANK(G46),"",IF(AND(ISNUMBER(G46),ISNUMBER(G25)),G25-G46,IF(AND(G46="n.v.t.",G25="n.v.t."),"n.v.t.","FOUT")))</f>
        <v>0</v>
      </c>
      <c r="H67" s="72" t="n">
        <f aca="false">IF(ISBLANK(H46),"",IF(AND(ISNUMBER(H46),ISNUMBER(H25)),H25-H46,IF(AND(H46="n.v.t.",H25="n.v.t."),"n.v.t.","FOUT")))</f>
        <v>0</v>
      </c>
      <c r="I67" s="72" t="n">
        <f aca="false">IF(ISBLANK(I46),"",IF(AND(ISNUMBER(I46),ISNUMBER(I25)),I25-I46,IF(AND(I46="n.v.t.",I25="n.v.t."),"n.v.t.","FOUT")))</f>
        <v>0</v>
      </c>
      <c r="J67" s="72" t="n">
        <f aca="false">IF(ISBLANK(J46),"",IF(AND(ISNUMBER(J46),ISNUMBER(J25)),J25-J46,IF(AND(J46="n.v.t.",J25="n.v.t."),"n.v.t.","FOUT")))</f>
        <v>0</v>
      </c>
      <c r="K67" s="72" t="n">
        <f aca="false">IF(ISBLANK(K46),"",IF(AND(ISNUMBER(K46),ISNUMBER(K25)),K25-K46,IF(AND(K46="n.v.t.",K25="n.v.t."),"n.v.t.","FOUT")))</f>
        <v>0</v>
      </c>
      <c r="L67" s="72" t="n">
        <f aca="false">IF(ISBLANK(L46),"",IF(AND(ISNUMBER(L46),ISNUMBER(L25)),L25-L46,IF(AND(L46="n.v.t.",L25="n.v.t."),"n.v.t.","FOUT")))</f>
        <v>0</v>
      </c>
      <c r="M67" s="72" t="str">
        <f aca="false">IF(ISBLANK(M46),"",IF(AND(ISNUMBER(M46),ISNUMBER(M25)),M25-M46,IF(AND(M46="n.v.t.",M25="n.v.t."),"n.v.t.","FOUT")))</f>
        <v/>
      </c>
    </row>
    <row r="68" customFormat="false" ht="15" hidden="false" customHeight="false" outlineLevel="0" collapsed="false">
      <c r="A68" s="9" t="s">
        <v>59</v>
      </c>
      <c r="C68" s="72" t="n">
        <f aca="false">IF(ISBLANK(C47),"",IF(AND(ISNUMBER(C47),ISNUMBER(C26)),C26-C47,IF(AND(C47="n.v.t.",C26="n.v.t."),"n.v.t.","FOUT")))</f>
        <v>2.3283064365387E-010</v>
      </c>
      <c r="D68" s="72" t="n">
        <f aca="false">IF(ISBLANK(D47),"",IF(AND(ISNUMBER(D47),ISNUMBER(D26)),D26-D47,IF(AND(D47="n.v.t.",D26="n.v.t."),"n.v.t.","FOUT")))</f>
        <v>2.3283064365387E-010</v>
      </c>
      <c r="E68" s="72" t="n">
        <f aca="false">IF(ISBLANK(E47),"",IF(AND(ISNUMBER(E47),ISNUMBER(E26)),E26-E47,IF(AND(E47="n.v.t.",E26="n.v.t."),"n.v.t.","FOUT")))</f>
        <v>0</v>
      </c>
      <c r="F68" s="72" t="n">
        <f aca="false">IF(ISBLANK(F47),"",IF(AND(ISNUMBER(F47),ISNUMBER(F26)),F26-F47,IF(AND(F47="n.v.t.",F26="n.v.t."),"n.v.t.","FOUT")))</f>
        <v>2.3283064365387E-010</v>
      </c>
      <c r="G68" s="72" t="str">
        <f aca="false">IF(ISBLANK(G47),"",IF(AND(ISNUMBER(G47),ISNUMBER(G26)),G26-G47,IF(AND(G47="n.v.t.",G26="n.v.t."),"n.v.t.","FOUT")))</f>
        <v>n.v.t.</v>
      </c>
      <c r="H68" s="72" t="str">
        <f aca="false">IF(ISBLANK(H47),"",IF(AND(ISNUMBER(H47),ISNUMBER(H26)),H26-H47,IF(AND(H47="n.v.t.",H26="n.v.t."),"n.v.t.","FOUT")))</f>
        <v>n.v.t.</v>
      </c>
      <c r="I68" s="72" t="n">
        <f aca="false">IF(ISBLANK(I47),"",IF(AND(ISNUMBER(I47),ISNUMBER(I26)),I26-I47,IF(AND(I47="n.v.t.",I26="n.v.t."),"n.v.t.","FOUT")))</f>
        <v>0</v>
      </c>
      <c r="J68" s="72" t="n">
        <f aca="false">IF(ISBLANK(J47),"",IF(AND(ISNUMBER(J47),ISNUMBER(J26)),J26-J47,IF(AND(J47="n.v.t.",J26="n.v.t."),"n.v.t.","FOUT")))</f>
        <v>0</v>
      </c>
      <c r="K68" s="72" t="n">
        <f aca="false">IF(ISBLANK(K47),"",IF(AND(ISNUMBER(K47),ISNUMBER(K26)),K26-K47,IF(AND(K47="n.v.t.",K26="n.v.t."),"n.v.t.","FOUT")))</f>
        <v>0</v>
      </c>
      <c r="L68" s="72" t="n">
        <f aca="false">IF(ISBLANK(L47),"",IF(AND(ISNUMBER(L47),ISNUMBER(L26)),L26-L47,IF(AND(L47="n.v.t.",L26="n.v.t."),"n.v.t.","FOUT")))</f>
        <v>0</v>
      </c>
      <c r="M68" s="72" t="str">
        <f aca="false">IF(ISBLANK(M47),"",IF(AND(ISNUMBER(M47),ISNUMBER(M26)),M26-M47,IF(AND(M47="n.v.t.",M26="n.v.t."),"n.v.t.","FOUT")))</f>
        <v/>
      </c>
    </row>
  </sheetData>
  <conditionalFormatting sqref="C51:M68">
    <cfRule type="expression" priority="2" aboveAverage="0" equalAverage="0" bottom="0" percent="0" rank="0" text="" dxfId="2">
      <formula>OR(C51="FOUT",AND(ISNUMBER(C51),ABS(C51)&gt;Tolerantie))</formula>
    </cfRule>
  </conditionalFormatting>
  <conditionalFormatting sqref="C6:M6">
    <cfRule type="cellIs" priority="3" operator="equal" aboveAverage="0" equalAverage="0" bottom="0" percent="0" rank="0" text="" dxfId="3">
      <formula>"OK"</formula>
    </cfRule>
    <cfRule type="cellIs" priority="4" operator="equal" aboveAverage="0" equalAverage="0" bottom="0" percent="0" rank="0" text="" dxfId="2">
      <formula>"AFWIJKING"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true"/>
  </sheetPr>
  <dimension ref="A1:D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44"/>
    <col collapsed="false" customWidth="true" hidden="false" outlineLevel="0" max="3" min="3" style="0" width="28"/>
    <col collapsed="false" customWidth="true" hidden="false" outlineLevel="0" max="4" min="4" style="0" width="96"/>
  </cols>
  <sheetData>
    <row r="1" customFormat="false" ht="19.7" hidden="false" customHeight="false" outlineLevel="0" collapsed="false">
      <c r="A1" s="1" t="s">
        <v>413</v>
      </c>
    </row>
    <row r="2" customFormat="false" ht="15" hidden="false" customHeight="false" outlineLevel="0" collapsed="false">
      <c r="A2" s="2" t="s">
        <v>414</v>
      </c>
    </row>
    <row r="4" customFormat="false" ht="15" hidden="false" customHeight="false" outlineLevel="0" collapsed="false">
      <c r="A4" s="17" t="s">
        <v>415</v>
      </c>
      <c r="B4" s="17" t="s">
        <v>416</v>
      </c>
      <c r="C4" s="17" t="s">
        <v>347</v>
      </c>
      <c r="D4" s="17" t="s">
        <v>417</v>
      </c>
    </row>
    <row r="5" customFormat="false" ht="15" hidden="false" customHeight="false" outlineLevel="0" collapsed="false">
      <c r="A5" s="73" t="s">
        <v>418</v>
      </c>
      <c r="B5" s="73" t="s">
        <v>419</v>
      </c>
      <c r="C5" s="74" t="s">
        <v>420</v>
      </c>
      <c r="D5" s="73" t="s">
        <v>421</v>
      </c>
    </row>
    <row r="6" customFormat="false" ht="15" hidden="false" customHeight="false" outlineLevel="0" collapsed="false">
      <c r="A6" s="73" t="s">
        <v>422</v>
      </c>
      <c r="B6" s="73" t="s">
        <v>423</v>
      </c>
      <c r="C6" s="74" t="s">
        <v>353</v>
      </c>
      <c r="D6" s="73" t="s">
        <v>424</v>
      </c>
    </row>
    <row r="7" customFormat="false" ht="15" hidden="false" customHeight="false" outlineLevel="0" collapsed="false">
      <c r="A7" s="73" t="s">
        <v>425</v>
      </c>
      <c r="B7" s="73" t="s">
        <v>423</v>
      </c>
      <c r="C7" s="74" t="s">
        <v>426</v>
      </c>
      <c r="D7" s="73" t="s">
        <v>427</v>
      </c>
    </row>
    <row r="8" customFormat="false" ht="15" hidden="false" customHeight="false" outlineLevel="0" collapsed="false">
      <c r="A8" s="73" t="s">
        <v>428</v>
      </c>
      <c r="B8" s="73" t="s">
        <v>429</v>
      </c>
      <c r="C8" s="74" t="s">
        <v>426</v>
      </c>
      <c r="D8" s="73" t="s">
        <v>430</v>
      </c>
    </row>
    <row r="9" customFormat="false" ht="15" hidden="false" customHeight="false" outlineLevel="0" collapsed="false">
      <c r="A9" s="73" t="s">
        <v>431</v>
      </c>
      <c r="B9" s="73" t="s">
        <v>418</v>
      </c>
      <c r="C9" s="74" t="s">
        <v>353</v>
      </c>
      <c r="D9" s="73" t="s">
        <v>432</v>
      </c>
    </row>
    <row r="10" customFormat="false" ht="23.85" hidden="false" customHeight="false" outlineLevel="0" collapsed="false">
      <c r="A10" s="73" t="s">
        <v>433</v>
      </c>
      <c r="B10" s="73" t="s">
        <v>434</v>
      </c>
      <c r="C10" s="75" t="s">
        <v>435</v>
      </c>
      <c r="D10" s="73" t="s">
        <v>436</v>
      </c>
    </row>
    <row r="11" customFormat="false" ht="23.85" hidden="false" customHeight="false" outlineLevel="0" collapsed="false">
      <c r="A11" s="73" t="s">
        <v>437</v>
      </c>
      <c r="B11" s="73" t="s">
        <v>438</v>
      </c>
      <c r="C11" s="76" t="s">
        <v>439</v>
      </c>
      <c r="D11" s="73" t="s">
        <v>440</v>
      </c>
    </row>
    <row r="12" customFormat="false" ht="15" hidden="false" customHeight="false" outlineLevel="0" collapsed="false">
      <c r="A12" s="73" t="s">
        <v>441</v>
      </c>
      <c r="B12" s="73" t="s">
        <v>442</v>
      </c>
      <c r="C12" s="74" t="s">
        <v>353</v>
      </c>
      <c r="D12" s="73" t="s">
        <v>443</v>
      </c>
    </row>
    <row r="13" customFormat="false" ht="15" hidden="false" customHeight="false" outlineLevel="0" collapsed="false">
      <c r="A13" s="73" t="s">
        <v>250</v>
      </c>
      <c r="B13" s="73" t="s">
        <v>444</v>
      </c>
      <c r="C13" s="75" t="s">
        <v>359</v>
      </c>
      <c r="D13" s="73" t="s">
        <v>445</v>
      </c>
    </row>
    <row r="14" customFormat="false" ht="15" hidden="false" customHeight="false" outlineLevel="0" collapsed="false">
      <c r="A14" s="73" t="s">
        <v>446</v>
      </c>
      <c r="B14" s="73" t="s">
        <v>447</v>
      </c>
      <c r="C14" s="75" t="s">
        <v>365</v>
      </c>
      <c r="D14" s="73" t="s">
        <v>448</v>
      </c>
    </row>
    <row r="15" customFormat="false" ht="23.85" hidden="false" customHeight="false" outlineLevel="0" collapsed="false">
      <c r="A15" s="73" t="s">
        <v>449</v>
      </c>
      <c r="B15" s="73" t="s">
        <v>450</v>
      </c>
      <c r="C15" s="74" t="s">
        <v>353</v>
      </c>
      <c r="D15" s="73" t="s">
        <v>451</v>
      </c>
    </row>
    <row r="16" customFormat="false" ht="23.85" hidden="false" customHeight="false" outlineLevel="0" collapsed="false">
      <c r="A16" s="73" t="s">
        <v>452</v>
      </c>
      <c r="B16" s="73" t="s">
        <v>453</v>
      </c>
      <c r="C16" s="76" t="s">
        <v>454</v>
      </c>
      <c r="D16" s="73" t="s">
        <v>455</v>
      </c>
    </row>
    <row r="17" customFormat="false" ht="15" hidden="false" customHeight="false" outlineLevel="0" collapsed="false">
      <c r="A17" s="73" t="s">
        <v>456</v>
      </c>
      <c r="B17" s="73" t="s">
        <v>457</v>
      </c>
      <c r="C17" s="75" t="s">
        <v>356</v>
      </c>
      <c r="D17" s="73" t="s">
        <v>458</v>
      </c>
    </row>
    <row r="18" customFormat="false" ht="15" hidden="false" customHeight="false" outlineLevel="0" collapsed="false">
      <c r="A18" s="73" t="s">
        <v>459</v>
      </c>
      <c r="B18" s="73" t="s">
        <v>460</v>
      </c>
      <c r="C18" s="74" t="s">
        <v>353</v>
      </c>
      <c r="D18" s="73" t="s">
        <v>461</v>
      </c>
    </row>
    <row r="19" customFormat="false" ht="15" hidden="false" customHeight="false" outlineLevel="0" collapsed="false">
      <c r="A19" s="73" t="s">
        <v>462</v>
      </c>
      <c r="B19" s="73" t="s">
        <v>463</v>
      </c>
      <c r="C19" s="74" t="s">
        <v>464</v>
      </c>
      <c r="D19" s="73" t="s">
        <v>465</v>
      </c>
    </row>
    <row r="20" customFormat="false" ht="15" hidden="false" customHeight="false" outlineLevel="0" collapsed="false">
      <c r="A20" s="73" t="s">
        <v>466</v>
      </c>
      <c r="B20" s="73" t="s">
        <v>467</v>
      </c>
      <c r="C20" s="75" t="s">
        <v>468</v>
      </c>
      <c r="D20" s="73" t="s">
        <v>469</v>
      </c>
    </row>
    <row r="21" customFormat="false" ht="23.85" hidden="false" customHeight="false" outlineLevel="0" collapsed="false">
      <c r="A21" s="73" t="s">
        <v>470</v>
      </c>
      <c r="B21" s="73" t="s">
        <v>471</v>
      </c>
      <c r="C21" s="74" t="s">
        <v>472</v>
      </c>
      <c r="D21" s="73" t="s">
        <v>473</v>
      </c>
    </row>
    <row r="22" customFormat="false" ht="15" hidden="false" customHeight="false" outlineLevel="0" collapsed="false">
      <c r="A22" s="73" t="s">
        <v>474</v>
      </c>
      <c r="B22" s="73" t="s">
        <v>475</v>
      </c>
      <c r="C22" s="75" t="s">
        <v>356</v>
      </c>
      <c r="D22" s="73" t="s">
        <v>476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2026-10-14T11:29:40Z</dcterms:created>
  <dc:creator>openpyxl</dc:creator>
  <dc:description/>
  <dc:language>en-US</dc:language>
  <cp:lastModifiedBy/>
  <dcterms:modified xsi:type="dcterms:W3CDTF">2026-10-14T11:29:41Z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